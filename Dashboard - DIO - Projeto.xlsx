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perador\Downloads\"/>
    </mc:Choice>
  </mc:AlternateContent>
  <bookViews>
    <workbookView xWindow="0" yWindow="0" windowWidth="23040" windowHeight="1110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39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<sst xmlns="http://schemas.openxmlformats.org/spreadsheetml/2006/main" count="2023" uniqueCount="325">
  <si>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</si>
  <si>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</si>
  <si>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</si>
  <si>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</si>
  <si>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</si>
  <si>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</si>
  <si>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</si>
  <si>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</si>
  <si>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</si>
  <si>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</si>
  <si>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</si>
  <si>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</si>
  <si>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</si>
  <si>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</si>
  <si>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</si>
  <si>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</si>
  <si>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</si>
  <si>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</si>
  <si>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</si>
  <si>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</si>
  <si>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</si>
  <si>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</si>
  <si>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</si>
  <si>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</si>
  <si>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</si>
  <si>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</si>
  <si>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</si>
  <si>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</si>
  <si>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</si>
  <si>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</si>
  <si>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</si>
  <si>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</si>
  <si>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</si>
  <si>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</si>
  <si>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</si>
  <si>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</si>
  <si>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</si>
  <si>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</si>
  <si>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</si>
  <si>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</si>
  <si>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</si>
  <si>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</si>
  <si>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</si>
  <si>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</si>
  <si>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</si>
  <si>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</si>
  <si>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</si>
  <si>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</si>
  <si>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</si>
  <si>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</si>
  <si>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</si>
  <si>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</si>
  <si>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</si>
  <si>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</si>
  <si>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</si>
  <si>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</si>
  <si>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</si>
  <si>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</si>
  <si>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</si>
  <si>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</si>
  <si>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</si>
  <si>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</si>
  <si>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</si>
  <si>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</si>
  <si>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</si>
  <si>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</si>
  <si>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</si>
  <si>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</si>
  <si>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</si>
  <si>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</si>
  <si>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</si>
  <si>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</si>
  <si>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</si>
  <si>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</si>
  <si>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</si>
  <si>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</si>
  <si>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</si>
  <si>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</si>
  <si>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</si>
  <si>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</si>
  <si>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</si>
  <si>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</si>
  <si>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</si>
  <si>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</si>
  <si>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</si>
  <si>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</si>
  <si>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</si>
  <si>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</si>
  <si>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</si>
  <si>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</si>
  <si>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</si>
  <si>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</si>
  <si>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</si>
  <si>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</si>
  <si>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</si>
  <si>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</si>
  <si>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</si>
  <si>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</si>
  <si>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</si>
  <si>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</si>
  <si>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</si>
  <si>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</si>
  <si>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</si>
  <si>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</si>
  <si>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</si>
  <si>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</si>
  <si>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</si>
  <si>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</si>
  <si>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</si>
  <si>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</si>
  <si>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</si>
  <si>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</si>
  <si>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</si>
  <si>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</si>
  <si>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</si>
  <si>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</si>
  <si>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</si>
  <si>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</si>
  <si>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</si>
  <si>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</si>
  <si>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</si>
  <si>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</si>
  <si>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</si>
  <si>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</si>
  <si>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</si>
  <si>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</si>
  <si>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</si>
  <si>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</si>
  <si>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</si>
  <si>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</si>
  <si>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</si>
  <si>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</si>
  <si>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</si>
  <si>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</si>
  <si>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</si>
  <si>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</si>
  <si>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</si>
  <si>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</si>
  <si>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</si>
  <si>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</si>
  <si>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</si>
  <si>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</si>
  <si>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</si>
  <si>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</si>
  <si>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</si>
  <si>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</si>
  <si>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</si>
  <si>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</si>
  <si>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</si>
  <si>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</si>
  <si>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</si>
  <si>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</si>
  <si>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</si>
  <si>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</si>
  <si>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</si>
  <si>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</si>
  <si>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</si>
  <si>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</si>
  <si>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</si>
  <si>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</si>
  <si>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</si>
  <si>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</si>
  <si>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</si>
  <si>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</si>
  <si>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</si>
  <si>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</si>
  <si>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</si>
  <si>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</si>
  <si>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</si>
  <si>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</si>
  <si>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</si>
  <si>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</si>
  <si>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</si>
  <si>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</si>
  <si>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</si>
  <si>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</si>
  <si>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</si>
  <si>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</si>
  <si>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</si>
  <si>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</si>
  <si>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</si>
  <si>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</si>
  <si>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</si>
  <si>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</si>
  <si>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</si>
  <si>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</si>
  <si>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</si>
  <si>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</si>
  <si>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</si>
  <si>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</si>
  <si>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</si>
  <si>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</si>
  <si>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</si>
  <si>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</si>
  <si>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</si>
  <si>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</si>
  <si>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</si>
  <si>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</si>
  <si>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</si>
  <si>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</si>
  <si>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</si>
  <si>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</si>
  <si>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</si>
  <si>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</si>
  <si>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</si>
  <si>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</si>
  <si>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</si>
  <si>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</si>
  <si>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</si>
  <si>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</si>
  <si>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</si>
  <si>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</si>
  <si>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</si>
  <si>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</si>
  <si>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</si>
  <si>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</si>
  <si>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</si>
  <si>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</si>
  <si>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</si>
  <si>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</si>
  <si>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</si>
  <si>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</si>
  <si>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</si>
  <si>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</si>
  <si>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</si>
  <si>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</si>
  <si>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</si>
  <si>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</si>
  <si>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</si>
  <si>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</si>
  <si>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</si>
  <si>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</si>
  <si>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</si>
  <si>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</si>
  <si>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</si>
  <si>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</si>
  <si>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</si>
  <si>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</si>
  <si>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</si>
  <si>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</si>
  <si>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</si>
  <si>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</si>
  <si>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</si>
  <si>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</si>
  <si>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</si>
  <si>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</si>
  <si>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</si>
  <si>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</si>
  <si>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</si>
  <si>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</si>
  <si>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</si>
  <si>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</si>
  <si>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</si>
  <si>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</si>
  <si>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</si>
  <si>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</si>
  <si>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</si>
  <si>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</si>
  <si>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</si>
  <si>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</si>
  <si>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</si>
  <si>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</si>
  <si>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</si>
  <si>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</si>
  <si>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</si>
  <si>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</si>
  <si>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</si>
  <si>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</si>
  <si>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</si>
  <si>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</si>
  <si>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</si>
  <si>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</si>
  <si>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</si>
  <si>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</si>
  <si>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</si>
  <si>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</si>
  <si>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</si>
  <si>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</si>
  <si>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</si>
  <si>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</si>
  <si>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</si>
  <si>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</si>
  <si>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</si>
  <si>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</si>
  <si>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</si>
  <si>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</si>
  <si>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</si>
  <si>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</si>
  <si>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</si>
  <si>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</si>
  <si>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</si>
  <si>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</si>
  <si>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</si>
  <si>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</si>
  <si>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</si>
  <si>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</si>
  <si>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</si>
  <si>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</si>
  <si>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</si>
  <si>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</si>
  <si>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</si>
  <si>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</si>
  <si>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</si>
  <si>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</si>
  <si>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</si>
  <si>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</si>
  <si>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</si>
  <si>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</si>
  <si>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</si>
  <si>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</si>
  <si>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</si>
  <si>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</si>
  <si>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</si>
  <si>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</si>
  <si>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</si>
  <si>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</si>
  <si>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</si>
  <si>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42:230:177</t>
  </si>
  <si>
    <r>
      <t xml:space="preserve">Pergunta de negócio3 -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assinaturas da EA Play</t>
    </r>
  </si>
  <si>
    <t>Pergunta de negócio1 - Qual faturamento Total de venda de planos anuais (contendo todas as assinaturas agregadas)</t>
  </si>
  <si>
    <r>
      <t xml:space="preserve">Pergunta de negócio2 -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planos anuais (separado por autorenovação ou não é autorenovação)</t>
    </r>
  </si>
  <si>
    <t>Soma de EA Play Season Pass</t>
  </si>
  <si>
    <r>
      <t xml:space="preserve">Pergunta de negócio4 -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assinaturas do Minecraft season pass</t>
    </r>
  </si>
  <si>
    <t>Soma de Minecraft Season Pass Price</t>
  </si>
  <si>
    <t xml:space="preserve">            XBOX GAMEPASS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</si>
</sst>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8" borderId="0" xfId="3"/>
    <xf numFmtId="44" fontId="0" fillId="0" borderId="0" xfId="0" applyNumberFormat="1"/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6" fillId="0" borderId="2" xfId="1" applyFont="1" applyBorder="1" applyAlignment="1">
      <alignment vertical="center"/>
    </xf>
    <xf numFmtId="44" fontId="3" fillId="9" borderId="3" xfId="0" applyNumberFormat="1" applyFont="1" applyFill="1" applyBorder="1"/>
    <xf numFmtId="164" fontId="0" fillId="0" borderId="0" xfId="0" applyNumberFormat="1"/>
    <xf numFmtId="0" fontId="0" fillId="0" borderId="2" xfId="0" applyBorder="1" applyAlignment="1">
      <alignment vertic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0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AE6B1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05"/>
      <tableStyleElement type="headerRow" dxfId="104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DIO - Projeto.xlsx]C̳álculos!tbl_annual_total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70-4E1B-A92E-CED3FA45CD26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70-4E1B-A92E-CED3FA45CD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9-4D27-8B22-804996D8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7630800"/>
        <c:axId val="417631632"/>
      </c:barChart>
      <c:catAx>
        <c:axId val="4176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417631632"/>
        <c:crosses val="autoZero"/>
        <c:auto val="1"/>
        <c:lblAlgn val="ctr"/>
        <c:lblOffset val="100"/>
        <c:noMultiLvlLbl val="0"/>
      </c:catAx>
      <c:valAx>
        <c:axId val="4176316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763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11" Type="http://schemas.openxmlformats.org/officeDocument/2006/relationships/image" Target="../media/image4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178676</xdr:colOff>
      <xdr:row>0</xdr:row>
      <xdr:rowOff>168165</xdr:rowOff>
    </xdr:from>
    <xdr:to>
      <xdr:col>2</xdr:col>
      <xdr:colOff>572157</xdr:colOff>
      <xdr:row>1</xdr:row>
      <xdr:rowOff>644086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66" t="18965" r="72239" b="22414"/>
        <a:stretch/>
      </xdr:blipFill>
      <xdr:spPr>
        <a:xfrm>
          <a:off x="2543504" y="168165"/>
          <a:ext cx="666750" cy="649342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18</xdr:row>
      <xdr:rowOff>38100</xdr:rowOff>
    </xdr:from>
    <xdr:to>
      <xdr:col>18</xdr:col>
      <xdr:colOff>0</xdr:colOff>
      <xdr:row>36</xdr:row>
      <xdr:rowOff>9525</xdr:rowOff>
    </xdr:to>
    <xdr:grpSp>
      <xdr:nvGrpSpPr>
        <xdr:cNvPr id="6" name="Agrupar 5"/>
        <xdr:cNvGrpSpPr/>
      </xdr:nvGrpSpPr>
      <xdr:grpSpPr>
        <a:xfrm>
          <a:off x="2419350" y="3703320"/>
          <a:ext cx="10778490" cy="3126105"/>
          <a:chOff x="1905000" y="1371600"/>
          <a:chExt cx="4703445" cy="2914650"/>
        </a:xfrm>
      </xdr:grpSpPr>
      <xdr:sp macro="" textlink="">
        <xdr:nvSpPr>
          <xdr:cNvPr id="5" name="Retângulo Arredondado 4"/>
          <xdr:cNvSpPr/>
        </xdr:nvSpPr>
        <xdr:spPr>
          <a:xfrm>
            <a:off x="1905000" y="1371600"/>
            <a:ext cx="4703445" cy="2895600"/>
          </a:xfrm>
          <a:prstGeom prst="roundRect">
            <a:avLst>
              <a:gd name="adj" fmla="val 84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036445" y="15430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7</xdr:row>
      <xdr:rowOff>209550</xdr:rowOff>
    </xdr:from>
    <xdr:to>
      <xdr:col>0</xdr:col>
      <xdr:colOff>2333624</xdr:colOff>
      <xdr:row>21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04975"/>
              <a:ext cx="2333624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93345</xdr:colOff>
      <xdr:row>7</xdr:row>
      <xdr:rowOff>190500</xdr:rowOff>
    </xdr:from>
    <xdr:to>
      <xdr:col>9</xdr:col>
      <xdr:colOff>350519</xdr:colOff>
      <xdr:row>16</xdr:row>
      <xdr:rowOff>20955</xdr:rowOff>
    </xdr:to>
    <xdr:grpSp>
      <xdr:nvGrpSpPr>
        <xdr:cNvPr id="12" name="Agrupar 11"/>
        <xdr:cNvGrpSpPr/>
      </xdr:nvGrpSpPr>
      <xdr:grpSpPr>
        <a:xfrm>
          <a:off x="2455545" y="1684020"/>
          <a:ext cx="5225414" cy="1651635"/>
          <a:chOff x="2447925" y="1276350"/>
          <a:chExt cx="5200649" cy="1638300"/>
        </a:xfrm>
      </xdr:grpSpPr>
      <xdr:sp macro="" textlink="">
        <xdr:nvSpPr>
          <xdr:cNvPr id="7" name="Retângulo Arredondado 6"/>
          <xdr:cNvSpPr/>
        </xdr:nvSpPr>
        <xdr:spPr>
          <a:xfrm>
            <a:off x="2447925" y="1371600"/>
            <a:ext cx="4943475" cy="15430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 Arredondado 7"/>
          <xdr:cNvSpPr/>
        </xdr:nvSpPr>
        <xdr:spPr>
          <a:xfrm>
            <a:off x="3152775" y="1524000"/>
            <a:ext cx="4495799" cy="13906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E2CF3B4-77BA-4E63-B3C4-42706FF95543}" type="TxLink">
              <a:rPr lang="en-US" sz="4000" b="1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40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0800" y="1590675"/>
            <a:ext cx="1229360" cy="1257300"/>
          </a:xfrm>
          <a:prstGeom prst="rect">
            <a:avLst/>
          </a:prstGeom>
        </xdr:spPr>
      </xdr:pic>
      <xdr:sp macro="" textlink="">
        <xdr:nvSpPr>
          <xdr:cNvPr id="9" name="Arredondar Retângulo no Mesmo Canto Lateral 8"/>
          <xdr:cNvSpPr/>
        </xdr:nvSpPr>
        <xdr:spPr>
          <a:xfrm>
            <a:off x="2447925" y="1276350"/>
            <a:ext cx="4953000" cy="40957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SUBSCRIPRIONS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200025</xdr:colOff>
      <xdr:row>7</xdr:row>
      <xdr:rowOff>196215</xdr:rowOff>
    </xdr:from>
    <xdr:to>
      <xdr:col>18</xdr:col>
      <xdr:colOff>228599</xdr:colOff>
      <xdr:row>16</xdr:row>
      <xdr:rowOff>30480</xdr:rowOff>
    </xdr:to>
    <xdr:grpSp>
      <xdr:nvGrpSpPr>
        <xdr:cNvPr id="21" name="Agrupar 20"/>
        <xdr:cNvGrpSpPr/>
      </xdr:nvGrpSpPr>
      <xdr:grpSpPr>
        <a:xfrm>
          <a:off x="8201025" y="1689735"/>
          <a:ext cx="5225414" cy="1655445"/>
          <a:chOff x="7981950" y="1304925"/>
          <a:chExt cx="5200649" cy="1638300"/>
        </a:xfrm>
      </xdr:grpSpPr>
      <xdr:sp macro="" textlink="">
        <xdr:nvSpPr>
          <xdr:cNvPr id="14" name="Retângulo Arredondado 13"/>
          <xdr:cNvSpPr/>
        </xdr:nvSpPr>
        <xdr:spPr>
          <a:xfrm>
            <a:off x="7981950" y="1400175"/>
            <a:ext cx="4943475" cy="15430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9">
        <xdr:nvSpPr>
          <xdr:cNvPr id="15" name="Retângulo Arredondado 14"/>
          <xdr:cNvSpPr/>
        </xdr:nvSpPr>
        <xdr:spPr>
          <a:xfrm>
            <a:off x="8686800" y="1552575"/>
            <a:ext cx="4495799" cy="13906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4301BAE-B801-418A-ACF0-946E5A4936B0}" type="TxLink">
              <a:rPr lang="en-US" sz="4000" b="1" i="0" u="none" strike="noStrike">
                <a:solidFill>
                  <a:srgbClr val="2AE6B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R$ 940,00</a:t>
            </a:fld>
            <a:endParaRPr lang="pt-BR" sz="4000" b="1" i="0" u="none" strike="noStrike">
              <a:solidFill>
                <a:srgbClr val="2AE6B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Arredondar Retângulo no Mesmo Canto Lateral 16"/>
          <xdr:cNvSpPr/>
        </xdr:nvSpPr>
        <xdr:spPr>
          <a:xfrm>
            <a:off x="7981950" y="1304925"/>
            <a:ext cx="4953000" cy="40957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SUBSCRIPRIONS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220076" y="1962150"/>
            <a:ext cx="971549" cy="523874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59634</xdr:colOff>
      <xdr:row>16</xdr:row>
      <xdr:rowOff>145774</xdr:rowOff>
    </xdr:from>
    <xdr:to>
      <xdr:col>17</xdr:col>
      <xdr:colOff>669234</xdr:colOff>
      <xdr:row>19</xdr:row>
      <xdr:rowOff>40171</xdr:rowOff>
    </xdr:to>
    <xdr:sp macro="" textlink="">
      <xdr:nvSpPr>
        <xdr:cNvPr id="22" name="Arredondar Retângulo no Mesmo Canto Lateral 21"/>
        <xdr:cNvSpPr/>
      </xdr:nvSpPr>
      <xdr:spPr>
        <a:xfrm>
          <a:off x="2425147" y="3432313"/>
          <a:ext cx="10754139" cy="411232"/>
        </a:xfrm>
        <a:prstGeom prst="round2Same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SUBSCRIPRIONS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XBOX GAME PASS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210207</xdr:colOff>
      <xdr:row>1</xdr:row>
      <xdr:rowOff>162910</xdr:rowOff>
    </xdr:from>
    <xdr:to>
      <xdr:col>0</xdr:col>
      <xdr:colOff>966492</xdr:colOff>
      <xdr:row>3</xdr:row>
      <xdr:rowOff>5255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210207" y="336331"/>
          <a:ext cx="756285" cy="719958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105104</xdr:colOff>
      <xdr:row>3</xdr:row>
      <xdr:rowOff>31532</xdr:rowOff>
    </xdr:from>
    <xdr:to>
      <xdr:col>0</xdr:col>
      <xdr:colOff>1923393</xdr:colOff>
      <xdr:row>5</xdr:row>
      <xdr:rowOff>122293</xdr:rowOff>
    </xdr:to>
    <xdr:sp macro="" textlink="">
      <xdr:nvSpPr>
        <xdr:cNvPr id="11" name="CaixaDeTexto 10"/>
        <xdr:cNvSpPr txBox="1"/>
      </xdr:nvSpPr>
      <xdr:spPr>
        <a:xfrm>
          <a:off x="105104" y="1082566"/>
          <a:ext cx="1818289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Bem-vindo(a), Alana</a:t>
          </a:r>
        </a:p>
      </xdr:txBody>
    </xdr:sp>
    <xdr:clientData/>
  </xdr:twoCellAnchor>
  <xdr:twoCellAnchor>
    <xdr:from>
      <xdr:col>1</xdr:col>
      <xdr:colOff>60960</xdr:colOff>
      <xdr:row>3</xdr:row>
      <xdr:rowOff>15240</xdr:rowOff>
    </xdr:from>
    <xdr:to>
      <xdr:col>9</xdr:col>
      <xdr:colOff>182880</xdr:colOff>
      <xdr:row>5</xdr:row>
      <xdr:rowOff>60960</xdr:rowOff>
    </xdr:to>
    <xdr:sp macro="" textlink="">
      <xdr:nvSpPr>
        <xdr:cNvPr id="13" name="CaixaDeTexto 12"/>
        <xdr:cNvSpPr txBox="1"/>
      </xdr:nvSpPr>
      <xdr:spPr>
        <a:xfrm>
          <a:off x="2423160" y="1066800"/>
          <a:ext cx="509016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a 31/12/2024 | Update date:</a:t>
          </a:r>
          <a:r>
            <a:rPr lang="pt-BR" sz="1100" b="1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25/12/2024</a:t>
          </a:r>
          <a:endParaRPr lang="pt-BR" sz="11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perador" refreshedDate="46295.571491782408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x v="0"/>
    <x v="0"/>
    <n v="20"/>
    <n v="5"/>
    <n v="60"/>
  </r>
  <r>
    <n v="3232"/>
    <s v="Maria Oliveira"/>
    <x v="1"/>
    <d v="2024-01-15T00:00:00"/>
    <x v="1"/>
    <n v="5"/>
    <x v="1"/>
    <s v="No"/>
    <x v="1"/>
    <x v="1"/>
    <n v="0"/>
    <n v="0"/>
    <n v="5"/>
  </r>
  <r>
    <n v="3233"/>
    <s v="Lucas Fernandes"/>
    <x v="2"/>
    <d v="2024-02-10T00:00:00"/>
    <x v="0"/>
    <n v="10"/>
    <x v="2"/>
    <s v="No"/>
    <x v="1"/>
    <x v="0"/>
    <n v="20"/>
    <n v="10"/>
    <n v="20"/>
  </r>
  <r>
    <n v="3234"/>
    <s v="Ana Souza"/>
    <x v="0"/>
    <d v="2024-02-20T00:00:00"/>
    <x v="1"/>
    <n v="15"/>
    <x v="0"/>
    <s v="Yes"/>
    <x v="0"/>
    <x v="0"/>
    <n v="20"/>
    <n v="3"/>
    <n v="62"/>
  </r>
  <r>
    <n v="3235"/>
    <s v="Pedro Gonçalves"/>
    <x v="1"/>
    <d v="2024-03-05T00:00:00"/>
    <x v="0"/>
    <n v="5"/>
    <x v="0"/>
    <s v="No"/>
    <x v="1"/>
    <x v="1"/>
    <n v="0"/>
    <n v="1"/>
    <n v="4"/>
  </r>
  <r>
    <n v="3236"/>
    <s v="Felipe Costa"/>
    <x v="2"/>
    <d v="2024-03-02T00:00:00"/>
    <x v="1"/>
    <n v="10"/>
    <x v="0"/>
    <s v="No"/>
    <x v="1"/>
    <x v="0"/>
    <n v="20"/>
    <n v="2"/>
    <n v="28"/>
  </r>
  <r>
    <n v="3237"/>
    <s v="Camila Ribeiro"/>
    <x v="0"/>
    <d v="2024-03-03T00:00:00"/>
    <x v="0"/>
    <n v="15"/>
    <x v="2"/>
    <s v="Yes"/>
    <x v="0"/>
    <x v="0"/>
    <n v="20"/>
    <n v="10"/>
    <n v="55"/>
  </r>
  <r>
    <n v="3238"/>
    <s v="André Mendes"/>
    <x v="1"/>
    <d v="2024-03-04T00:00:00"/>
    <x v="0"/>
    <n v="5"/>
    <x v="1"/>
    <s v="No"/>
    <x v="1"/>
    <x v="1"/>
    <n v="0"/>
    <n v="0"/>
    <n v="5"/>
  </r>
  <r>
    <n v="3239"/>
    <s v="Sofia Almeida"/>
    <x v="0"/>
    <d v="2024-03-05T00:00:00"/>
    <x v="1"/>
    <n v="15"/>
    <x v="0"/>
    <s v="Yes"/>
    <x v="0"/>
    <x v="0"/>
    <n v="20"/>
    <n v="5"/>
    <n v="60"/>
  </r>
  <r>
    <n v="3240"/>
    <s v="Bruno Martins"/>
    <x v="2"/>
    <d v="2024-03-06T00:00:00"/>
    <x v="0"/>
    <n v="10"/>
    <x v="2"/>
    <s v="No"/>
    <x v="1"/>
    <x v="0"/>
    <n v="20"/>
    <n v="15"/>
    <n v="15"/>
  </r>
  <r>
    <n v="3241"/>
    <s v="Rita Castro"/>
    <x v="1"/>
    <d v="2024-03-07T00:00:00"/>
    <x v="1"/>
    <n v="5"/>
    <x v="0"/>
    <s v="No"/>
    <x v="1"/>
    <x v="1"/>
    <n v="0"/>
    <n v="1"/>
    <n v="4"/>
  </r>
  <r>
    <n v="3242"/>
    <s v="Marco Túlio"/>
    <x v="0"/>
    <d v="2024-03-08T00:00:00"/>
    <x v="0"/>
    <n v="15"/>
    <x v="1"/>
    <s v="Yes"/>
    <x v="0"/>
    <x v="0"/>
    <n v="20"/>
    <n v="20"/>
    <n v="45"/>
  </r>
  <r>
    <n v="3243"/>
    <s v="Lívia Silveira"/>
    <x v="2"/>
    <d v="2024-03-09T00:00:00"/>
    <x v="1"/>
    <n v="10"/>
    <x v="0"/>
    <s v="No"/>
    <x v="1"/>
    <x v="0"/>
    <n v="20"/>
    <n v="10"/>
    <n v="20"/>
  </r>
  <r>
    <n v="3244"/>
    <s v="Diogo Sousa"/>
    <x v="1"/>
    <d v="2024-03-10T00:00:00"/>
    <x v="0"/>
    <n v="5"/>
    <x v="2"/>
    <s v="No"/>
    <x v="1"/>
    <x v="1"/>
    <n v="0"/>
    <n v="0"/>
    <n v="5"/>
  </r>
  <r>
    <n v="3245"/>
    <s v="Fernanda Lima"/>
    <x v="0"/>
    <d v="2024-03-11T00:00:00"/>
    <x v="1"/>
    <n v="15"/>
    <x v="0"/>
    <s v="Yes"/>
    <x v="0"/>
    <x v="0"/>
    <n v="20"/>
    <n v="8"/>
    <n v="57"/>
  </r>
  <r>
    <n v="3246"/>
    <s v="Caio Pereira"/>
    <x v="2"/>
    <d v="2024-03-12T00:00:00"/>
    <x v="0"/>
    <n v="10"/>
    <x v="1"/>
    <s v="No"/>
    <x v="1"/>
    <x v="0"/>
    <n v="20"/>
    <n v="12"/>
    <n v="18"/>
  </r>
  <r>
    <n v="3247"/>
    <s v="Beatriz Gomes"/>
    <x v="1"/>
    <d v="2024-03-13T00:00:00"/>
    <x v="1"/>
    <n v="5"/>
    <x v="0"/>
    <s v="No"/>
    <x v="1"/>
    <x v="1"/>
    <n v="0"/>
    <n v="2"/>
    <n v="3"/>
  </r>
  <r>
    <n v="3248"/>
    <s v="Cesar Oliveira"/>
    <x v="0"/>
    <d v="2024-03-14T00:00:00"/>
    <x v="0"/>
    <n v="15"/>
    <x v="2"/>
    <s v="Yes"/>
    <x v="0"/>
    <x v="0"/>
    <n v="20"/>
    <n v="7"/>
    <n v="58"/>
  </r>
  <r>
    <n v="3249"/>
    <s v="Débora Machado"/>
    <x v="2"/>
    <d v="2024-03-15T00:00:00"/>
    <x v="1"/>
    <n v="10"/>
    <x v="0"/>
    <s v="No"/>
    <x v="1"/>
    <x v="0"/>
    <n v="20"/>
    <n v="5"/>
    <n v="25"/>
  </r>
  <r>
    <n v="3250"/>
    <s v="Eduardo Vargas"/>
    <x v="1"/>
    <d v="2024-03-16T00:00:00"/>
    <x v="0"/>
    <n v="5"/>
    <x v="1"/>
    <s v="No"/>
    <x v="1"/>
    <x v="1"/>
    <n v="0"/>
    <n v="0"/>
    <n v="5"/>
  </r>
  <r>
    <n v="3251"/>
    <s v="Gabriela Santos"/>
    <x v="0"/>
    <d v="2024-03-17T00:00:00"/>
    <x v="1"/>
    <n v="15"/>
    <x v="0"/>
    <s v="Yes"/>
    <x v="0"/>
    <x v="0"/>
    <n v="20"/>
    <n v="3"/>
    <n v="62"/>
  </r>
  <r>
    <n v="3252"/>
    <s v="Henrique Dias"/>
    <x v="2"/>
    <d v="2024-03-18T00:00:00"/>
    <x v="0"/>
    <n v="10"/>
    <x v="2"/>
    <s v="No"/>
    <x v="1"/>
    <x v="0"/>
    <n v="20"/>
    <n v="15"/>
    <n v="15"/>
  </r>
  <r>
    <n v="3253"/>
    <s v="Isabela Moreira"/>
    <x v="1"/>
    <d v="2024-03-19T00:00:00"/>
    <x v="1"/>
    <n v="5"/>
    <x v="0"/>
    <s v="No"/>
    <x v="1"/>
    <x v="1"/>
    <n v="0"/>
    <n v="1"/>
    <n v="4"/>
  </r>
  <r>
    <n v="3254"/>
    <s v="Joaquim Barbosa"/>
    <x v="0"/>
    <d v="2024-03-20T00:00:00"/>
    <x v="0"/>
    <n v="15"/>
    <x v="1"/>
    <s v="Yes"/>
    <x v="0"/>
    <x v="0"/>
    <n v="20"/>
    <n v="20"/>
    <n v="45"/>
  </r>
  <r>
    <n v="3255"/>
    <s v="Lara Rocha"/>
    <x v="2"/>
    <d v="2024-03-21T00:00:00"/>
    <x v="1"/>
    <n v="10"/>
    <x v="0"/>
    <s v="No"/>
    <x v="1"/>
    <x v="0"/>
    <n v="20"/>
    <n v="10"/>
    <n v="20"/>
  </r>
  <r>
    <n v="3256"/>
    <s v="Matheus Silva"/>
    <x v="1"/>
    <d v="2024-03-22T00:00:00"/>
    <x v="0"/>
    <n v="5"/>
    <x v="2"/>
    <s v="No"/>
    <x v="1"/>
    <x v="1"/>
    <n v="0"/>
    <n v="0"/>
    <n v="5"/>
  </r>
  <r>
    <n v="3257"/>
    <s v="Nicole Costa"/>
    <x v="0"/>
    <d v="2024-03-23T00:00:00"/>
    <x v="1"/>
    <n v="15"/>
    <x v="0"/>
    <s v="Yes"/>
    <x v="0"/>
    <x v="0"/>
    <n v="20"/>
    <n v="5"/>
    <n v="60"/>
  </r>
  <r>
    <n v="3258"/>
    <s v="Otávio Mendonça"/>
    <x v="2"/>
    <d v="2024-03-24T00:00:00"/>
    <x v="0"/>
    <n v="10"/>
    <x v="1"/>
    <s v="No"/>
    <x v="1"/>
    <x v="0"/>
    <n v="20"/>
    <n v="15"/>
    <n v="15"/>
  </r>
  <r>
    <n v="3259"/>
    <s v="Paula Ferreira"/>
    <x v="1"/>
    <d v="2024-03-25T00:00:00"/>
    <x v="1"/>
    <n v="5"/>
    <x v="0"/>
    <s v="No"/>
    <x v="1"/>
    <x v="1"/>
    <n v="0"/>
    <n v="1"/>
    <n v="4"/>
  </r>
  <r>
    <n v="3260"/>
    <s v="Raquel Alves"/>
    <x v="0"/>
    <d v="2024-03-26T00:00:00"/>
    <x v="0"/>
    <n v="15"/>
    <x v="2"/>
    <s v="Yes"/>
    <x v="0"/>
    <x v="0"/>
    <n v="20"/>
    <n v="7"/>
    <n v="58"/>
  </r>
  <r>
    <n v="3261"/>
    <s v="Samuel Pires"/>
    <x v="2"/>
    <d v="2024-03-27T00:00:00"/>
    <x v="1"/>
    <n v="10"/>
    <x v="0"/>
    <s v="No"/>
    <x v="1"/>
    <x v="0"/>
    <n v="20"/>
    <n v="10"/>
    <n v="20"/>
  </r>
  <r>
    <n v="3262"/>
    <s v="Tânia Barros"/>
    <x v="1"/>
    <d v="2024-03-28T00:00:00"/>
    <x v="0"/>
    <n v="5"/>
    <x v="1"/>
    <s v="No"/>
    <x v="1"/>
    <x v="1"/>
    <n v="0"/>
    <n v="0"/>
    <n v="5"/>
  </r>
  <r>
    <n v="3263"/>
    <s v="Vinicius Lima"/>
    <x v="0"/>
    <d v="2024-03-29T00:00:00"/>
    <x v="1"/>
    <n v="15"/>
    <x v="0"/>
    <s v="Yes"/>
    <x v="0"/>
    <x v="0"/>
    <n v="20"/>
    <n v="3"/>
    <n v="62"/>
  </r>
  <r>
    <n v="3264"/>
    <s v="Yasmin Teixeira"/>
    <x v="2"/>
    <d v="2024-03-30T00:00:00"/>
    <x v="0"/>
    <n v="10"/>
    <x v="2"/>
    <s v="No"/>
    <x v="1"/>
    <x v="0"/>
    <n v="20"/>
    <n v="15"/>
    <n v="15"/>
  </r>
  <r>
    <n v="3265"/>
    <s v="Zé Carlos"/>
    <x v="1"/>
    <d v="2024-03-31T00:00:00"/>
    <x v="1"/>
    <n v="5"/>
    <x v="0"/>
    <s v="No"/>
    <x v="1"/>
    <x v="1"/>
    <n v="0"/>
    <n v="1"/>
    <n v="4"/>
  </r>
  <r>
    <n v="3266"/>
    <s v="Amanda Nogueira"/>
    <x v="1"/>
    <d v="2024-04-01T00:00:00"/>
    <x v="0"/>
    <n v="5"/>
    <x v="0"/>
    <s v="No"/>
    <x v="1"/>
    <x v="1"/>
    <n v="0"/>
    <n v="0"/>
    <n v="5"/>
  </r>
  <r>
    <n v="3267"/>
    <s v="Bruno Cavalheiro"/>
    <x v="0"/>
    <d v="2024-04-02T00:00:00"/>
    <x v="1"/>
    <n v="15"/>
    <x v="2"/>
    <s v="Yes"/>
    <x v="0"/>
    <x v="0"/>
    <n v="20"/>
    <n v="7"/>
    <n v="58"/>
  </r>
  <r>
    <n v="3268"/>
    <s v="Carla Dias"/>
    <x v="2"/>
    <d v="2024-04-03T00:00:00"/>
    <x v="0"/>
    <n v="10"/>
    <x v="1"/>
    <s v="No"/>
    <x v="1"/>
    <x v="0"/>
    <n v="20"/>
    <n v="10"/>
    <n v="20"/>
  </r>
  <r>
    <n v="3269"/>
    <s v="Diego Fontes"/>
    <x v="1"/>
    <d v="2024-04-04T00:00:00"/>
    <x v="1"/>
    <n v="5"/>
    <x v="2"/>
    <s v="No"/>
    <x v="1"/>
    <x v="1"/>
    <n v="0"/>
    <n v="1"/>
    <n v="4"/>
  </r>
  <r>
    <n v="3270"/>
    <s v="Eunice Lima"/>
    <x v="0"/>
    <d v="2024-04-05T00:00:00"/>
    <x v="0"/>
    <n v="15"/>
    <x v="0"/>
    <s v="Yes"/>
    <x v="0"/>
    <x v="0"/>
    <n v="20"/>
    <n v="15"/>
    <n v="50"/>
  </r>
  <r>
    <n v="3271"/>
    <s v="Fábio Martins"/>
    <x v="2"/>
    <d v="2024-04-06T00:00:00"/>
    <x v="1"/>
    <n v="10"/>
    <x v="0"/>
    <s v="No"/>
    <x v="1"/>
    <x v="0"/>
    <n v="20"/>
    <n v="5"/>
    <n v="25"/>
  </r>
  <r>
    <n v="3272"/>
    <s v="Gisele Araújo"/>
    <x v="1"/>
    <d v="2024-04-07T00:00:00"/>
    <x v="0"/>
    <n v="5"/>
    <x v="1"/>
    <s v="No"/>
    <x v="1"/>
    <x v="1"/>
    <n v="0"/>
    <n v="0"/>
    <n v="5"/>
  </r>
  <r>
    <n v="3273"/>
    <s v="Hélio Castro"/>
    <x v="0"/>
    <d v="2024-04-08T00:00:00"/>
    <x v="1"/>
    <n v="15"/>
    <x v="2"/>
    <s v="Yes"/>
    <x v="0"/>
    <x v="0"/>
    <n v="20"/>
    <n v="20"/>
    <n v="45"/>
  </r>
  <r>
    <n v="3274"/>
    <s v="Ingrid Menezes"/>
    <x v="2"/>
    <d v="2024-04-09T00:00:00"/>
    <x v="0"/>
    <n v="10"/>
    <x v="2"/>
    <s v="No"/>
    <x v="1"/>
    <x v="0"/>
    <n v="20"/>
    <n v="12"/>
    <n v="18"/>
  </r>
  <r>
    <n v="3275"/>
    <s v="Jorge Baptista"/>
    <x v="1"/>
    <d v="2024-04-10T00:00:00"/>
    <x v="1"/>
    <n v="5"/>
    <x v="0"/>
    <s v="No"/>
    <x v="1"/>
    <x v="1"/>
    <n v="0"/>
    <n v="2"/>
    <n v="3"/>
  </r>
  <r>
    <n v="3276"/>
    <s v="Kléber Oliveira"/>
    <x v="0"/>
    <d v="2024-04-11T00:00:00"/>
    <x v="0"/>
    <n v="15"/>
    <x v="1"/>
    <s v="Yes"/>
    <x v="0"/>
    <x v="0"/>
    <n v="20"/>
    <n v="5"/>
    <n v="60"/>
  </r>
  <r>
    <n v="3277"/>
    <s v="Luciana Freitas"/>
    <x v="2"/>
    <d v="2024-04-12T00:00:00"/>
    <x v="1"/>
    <n v="10"/>
    <x v="0"/>
    <s v="No"/>
    <x v="1"/>
    <x v="0"/>
    <n v="20"/>
    <n v="10"/>
    <n v="20"/>
  </r>
  <r>
    <n v="3278"/>
    <s v="Márcia Eller"/>
    <x v="1"/>
    <d v="2024-04-13T00:00:00"/>
    <x v="0"/>
    <n v="5"/>
    <x v="2"/>
    <s v="No"/>
    <x v="1"/>
    <x v="1"/>
    <n v="0"/>
    <n v="0"/>
    <n v="5"/>
  </r>
  <r>
    <n v="3279"/>
    <s v="Nilo Peçanha"/>
    <x v="0"/>
    <d v="2024-04-14T00:00:00"/>
    <x v="1"/>
    <n v="15"/>
    <x v="0"/>
    <s v="Yes"/>
    <x v="0"/>
    <x v="0"/>
    <n v="20"/>
    <n v="3"/>
    <n v="62"/>
  </r>
  <r>
    <n v="3280"/>
    <s v="Oscar Neves"/>
    <x v="2"/>
    <d v="2024-04-15T00:00:00"/>
    <x v="0"/>
    <n v="10"/>
    <x v="1"/>
    <s v="No"/>
    <x v="1"/>
    <x v="0"/>
    <n v="20"/>
    <n v="15"/>
    <n v="15"/>
  </r>
  <r>
    <n v="3281"/>
    <s v="Patrícia Soares"/>
    <x v="1"/>
    <d v="2024-04-16T00:00:00"/>
    <x v="1"/>
    <n v="5"/>
    <x v="0"/>
    <s v="No"/>
    <x v="1"/>
    <x v="1"/>
    <n v="0"/>
    <n v="1"/>
    <n v="4"/>
  </r>
  <r>
    <n v="3282"/>
    <s v="Quirino Gonçalves"/>
    <x v="0"/>
    <d v="2024-04-17T00:00:00"/>
    <x v="0"/>
    <n v="15"/>
    <x v="2"/>
    <s v="Yes"/>
    <x v="0"/>
    <x v="0"/>
    <n v="20"/>
    <n v="7"/>
    <n v="58"/>
  </r>
  <r>
    <n v="3283"/>
    <s v="Raul Machado"/>
    <x v="2"/>
    <d v="2024-04-18T00:00:00"/>
    <x v="1"/>
    <n v="10"/>
    <x v="0"/>
    <s v="No"/>
    <x v="1"/>
    <x v="0"/>
    <n v="20"/>
    <n v="10"/>
    <n v="20"/>
  </r>
  <r>
    <n v="3284"/>
    <s v="Sônia Lobo"/>
    <x v="1"/>
    <d v="2024-04-19T00:00:00"/>
    <x v="0"/>
    <n v="5"/>
    <x v="1"/>
    <s v="No"/>
    <x v="1"/>
    <x v="1"/>
    <n v="0"/>
    <n v="0"/>
    <n v="5"/>
  </r>
  <r>
    <n v="3285"/>
    <s v="Tiago Ramos"/>
    <x v="0"/>
    <d v="2024-04-20T00:00:00"/>
    <x v="1"/>
    <n v="15"/>
    <x v="0"/>
    <s v="Yes"/>
    <x v="0"/>
    <x v="0"/>
    <n v="20"/>
    <n v="20"/>
    <n v="45"/>
  </r>
  <r>
    <n v="3286"/>
    <s v="Ugo Pires"/>
    <x v="2"/>
    <d v="2024-04-21T00:00:00"/>
    <x v="0"/>
    <n v="10"/>
    <x v="2"/>
    <s v="No"/>
    <x v="1"/>
    <x v="0"/>
    <n v="20"/>
    <n v="15"/>
    <n v="15"/>
  </r>
  <r>
    <n v="3287"/>
    <s v="Valéria Nobre"/>
    <x v="1"/>
    <d v="2024-04-22T00:00:00"/>
    <x v="1"/>
    <n v="5"/>
    <x v="0"/>
    <s v="No"/>
    <x v="1"/>
    <x v="1"/>
    <n v="0"/>
    <n v="1"/>
    <n v="4"/>
  </r>
  <r>
    <n v="3288"/>
    <s v="William Siqueira"/>
    <x v="0"/>
    <d v="2024-04-23T00:00:00"/>
    <x v="0"/>
    <n v="15"/>
    <x v="1"/>
    <s v="Yes"/>
    <x v="0"/>
    <x v="0"/>
    <n v="20"/>
    <n v="3"/>
    <n v="62"/>
  </r>
  <r>
    <n v="3289"/>
    <s v="Xuxa Meneghel"/>
    <x v="2"/>
    <d v="2024-04-24T00:00:00"/>
    <x v="1"/>
    <n v="10"/>
    <x v="0"/>
    <s v="No"/>
    <x v="1"/>
    <x v="0"/>
    <n v="20"/>
    <n v="10"/>
    <n v="20"/>
  </r>
  <r>
    <n v="3290"/>
    <s v="Yara Figueiredo"/>
    <x v="1"/>
    <d v="2024-04-25T00:00:00"/>
    <x v="0"/>
    <n v="5"/>
    <x v="2"/>
    <s v="No"/>
    <x v="1"/>
    <x v="1"/>
    <n v="0"/>
    <n v="0"/>
    <n v="5"/>
  </r>
  <r>
    <n v="3291"/>
    <s v="Zacarias Alves"/>
    <x v="0"/>
    <d v="2024-04-26T00:00:00"/>
    <x v="1"/>
    <n v="15"/>
    <x v="0"/>
    <s v="Yes"/>
    <x v="0"/>
    <x v="0"/>
    <n v="20"/>
    <n v="5"/>
    <n v="60"/>
  </r>
  <r>
    <n v="3292"/>
    <s v="Amanda Bynes"/>
    <x v="2"/>
    <d v="2024-04-27T00:00:00"/>
    <x v="0"/>
    <n v="10"/>
    <x v="1"/>
    <s v="No"/>
    <x v="1"/>
    <x v="0"/>
    <n v="20"/>
    <n v="15"/>
    <n v="15"/>
  </r>
  <r>
    <n v="3293"/>
    <s v="Bruno Mars"/>
    <x v="1"/>
    <d v="2024-04-28T00:00:00"/>
    <x v="1"/>
    <n v="5"/>
    <x v="0"/>
    <s v="No"/>
    <x v="1"/>
    <x v="1"/>
    <n v="0"/>
    <n v="1"/>
    <n v="4"/>
  </r>
  <r>
    <n v="3294"/>
    <s v="Carla Bruni"/>
    <x v="0"/>
    <d v="2024-04-29T00:00:00"/>
    <x v="0"/>
    <n v="15"/>
    <x v="2"/>
    <s v="Yes"/>
    <x v="0"/>
    <x v="0"/>
    <n v="20"/>
    <n v="20"/>
    <n v="45"/>
  </r>
  <r>
    <n v="3295"/>
    <s v="Diego Maradona"/>
    <x v="2"/>
    <d v="2024-04-30T00:00:00"/>
    <x v="1"/>
    <n v="10"/>
    <x v="0"/>
    <s v="No"/>
    <x v="1"/>
    <x v="0"/>
    <n v="20"/>
    <n v="5"/>
    <n v="25"/>
  </r>
  <r>
    <n v="3296"/>
    <s v="Estela Marques"/>
    <x v="1"/>
    <d v="2024-05-01T00:00:00"/>
    <x v="1"/>
    <n v="5"/>
    <x v="0"/>
    <s v="No"/>
    <x v="1"/>
    <x v="1"/>
    <n v="0"/>
    <n v="0"/>
    <n v="5"/>
  </r>
  <r>
    <n v="3297"/>
    <s v="Fábio Nobre"/>
    <x v="0"/>
    <d v="2024-05-02T00:00:00"/>
    <x v="0"/>
    <n v="15"/>
    <x v="2"/>
    <s v="Yes"/>
    <x v="0"/>
    <x v="0"/>
    <n v="20"/>
    <n v="7"/>
    <n v="58"/>
  </r>
  <r>
    <n v="3298"/>
    <s v="Gabriel Oliveira"/>
    <x v="2"/>
    <d v="2024-05-03T00:00:00"/>
    <x v="1"/>
    <n v="10"/>
    <x v="1"/>
    <s v="No"/>
    <x v="1"/>
    <x v="0"/>
    <n v="20"/>
    <n v="10"/>
    <n v="20"/>
  </r>
  <r>
    <n v="3299"/>
    <s v="Helena Santos"/>
    <x v="1"/>
    <d v="2024-05-04T00:00:00"/>
    <x v="0"/>
    <n v="5"/>
    <x v="2"/>
    <s v="No"/>
    <x v="1"/>
    <x v="1"/>
    <n v="0"/>
    <n v="1"/>
    <n v="4"/>
  </r>
  <r>
    <n v="3300"/>
    <s v="Ivan Carvalho"/>
    <x v="0"/>
    <d v="2024-05-05T00:00:00"/>
    <x v="1"/>
    <n v="15"/>
    <x v="0"/>
    <s v="Yes"/>
    <x v="0"/>
    <x v="0"/>
    <n v="20"/>
    <n v="15"/>
    <n v="50"/>
  </r>
  <r>
    <n v="3301"/>
    <s v="Júlia Ferreira"/>
    <x v="2"/>
    <d v="2024-05-06T00:00:00"/>
    <x v="0"/>
    <n v="10"/>
    <x v="0"/>
    <s v="No"/>
    <x v="1"/>
    <x v="0"/>
    <n v="20"/>
    <n v="5"/>
    <n v="25"/>
  </r>
  <r>
    <n v="3302"/>
    <s v="Karla Alves"/>
    <x v="1"/>
    <d v="2024-05-07T00:00:00"/>
    <x v="1"/>
    <n v="5"/>
    <x v="1"/>
    <s v="No"/>
    <x v="1"/>
    <x v="1"/>
    <n v="0"/>
    <n v="0"/>
    <n v="5"/>
  </r>
  <r>
    <n v="3303"/>
    <s v="Lucas Mendes"/>
    <x v="0"/>
    <d v="2024-05-08T00:00:00"/>
    <x v="0"/>
    <n v="15"/>
    <x v="2"/>
    <s v="Yes"/>
    <x v="0"/>
    <x v="0"/>
    <n v="20"/>
    <n v="20"/>
    <n v="45"/>
  </r>
  <r>
    <n v="3304"/>
    <s v="Mônica Gomes"/>
    <x v="2"/>
    <d v="2024-05-09T00:00:00"/>
    <x v="1"/>
    <n v="10"/>
    <x v="2"/>
    <s v="No"/>
    <x v="1"/>
    <x v="0"/>
    <n v="20"/>
    <n v="12"/>
    <n v="18"/>
  </r>
  <r>
    <n v="3305"/>
    <s v="Norberto Queiroz"/>
    <x v="1"/>
    <d v="2024-05-10T00:00:00"/>
    <x v="0"/>
    <n v="5"/>
    <x v="0"/>
    <s v="No"/>
    <x v="1"/>
    <x v="1"/>
    <n v="0"/>
    <n v="2"/>
    <n v="3"/>
  </r>
  <r>
    <n v="3306"/>
    <s v="Otávio Barros"/>
    <x v="0"/>
    <d v="2024-05-11T00:00:00"/>
    <x v="1"/>
    <n v="15"/>
    <x v="1"/>
    <s v="Yes"/>
    <x v="0"/>
    <x v="0"/>
    <n v="20"/>
    <n v="5"/>
    <n v="60"/>
  </r>
  <r>
    <n v="3307"/>
    <s v="Paula Vieira"/>
    <x v="2"/>
    <d v="2024-05-12T00:00:00"/>
    <x v="0"/>
    <n v="10"/>
    <x v="0"/>
    <s v="No"/>
    <x v="1"/>
    <x v="0"/>
    <n v="20"/>
    <n v="10"/>
    <n v="20"/>
  </r>
  <r>
    <n v="3308"/>
    <s v="Quentin Ramos"/>
    <x v="1"/>
    <d v="2024-05-13T00:00:00"/>
    <x v="1"/>
    <n v="5"/>
    <x v="2"/>
    <s v="No"/>
    <x v="1"/>
    <x v="1"/>
    <n v="0"/>
    <n v="0"/>
    <n v="5"/>
  </r>
  <r>
    <n v="3309"/>
    <s v="Raquel Novaes"/>
    <x v="0"/>
    <d v="2024-05-14T00:00:00"/>
    <x v="0"/>
    <n v="15"/>
    <x v="0"/>
    <s v="Yes"/>
    <x v="0"/>
    <x v="0"/>
    <n v="20"/>
    <n v="3"/>
    <n v="62"/>
  </r>
  <r>
    <n v="3310"/>
    <s v="Samantha Lopes"/>
    <x v="2"/>
    <d v="2024-05-15T00:00:00"/>
    <x v="1"/>
    <n v="10"/>
    <x v="1"/>
    <s v="No"/>
    <x v="1"/>
    <x v="0"/>
    <n v="20"/>
    <n v="15"/>
    <n v="15"/>
  </r>
  <r>
    <n v="3311"/>
    <s v="Tiago Martins"/>
    <x v="1"/>
    <d v="2024-05-16T00:00:00"/>
    <x v="0"/>
    <n v="5"/>
    <x v="0"/>
    <s v="No"/>
    <x v="1"/>
    <x v="1"/>
    <n v="0"/>
    <n v="1"/>
    <n v="4"/>
  </r>
  <r>
    <n v="3312"/>
    <s v="Ulysses Guimarães"/>
    <x v="0"/>
    <d v="2024-05-17T00:00:00"/>
    <x v="1"/>
    <n v="15"/>
    <x v="2"/>
    <s v="Yes"/>
    <x v="0"/>
    <x v="0"/>
    <n v="20"/>
    <n v="7"/>
    <n v="58"/>
  </r>
  <r>
    <n v="3313"/>
    <s v="Vanessa Silva"/>
    <x v="2"/>
    <d v="2024-05-18T00:00:00"/>
    <x v="0"/>
    <n v="10"/>
    <x v="0"/>
    <s v="No"/>
    <x v="1"/>
    <x v="0"/>
    <n v="20"/>
    <n v="10"/>
    <n v="20"/>
  </r>
  <r>
    <n v="3314"/>
    <s v="William Carneiro"/>
    <x v="1"/>
    <d v="2024-05-19T00:00:00"/>
    <x v="1"/>
    <n v="5"/>
    <x v="1"/>
    <s v="No"/>
    <x v="1"/>
    <x v="1"/>
    <n v="0"/>
    <n v="0"/>
    <n v="5"/>
  </r>
  <r>
    <n v="3315"/>
    <s v="Ximena Rocha"/>
    <x v="0"/>
    <d v="2024-05-20T00:00:00"/>
    <x v="0"/>
    <n v="15"/>
    <x v="0"/>
    <s v="Yes"/>
    <x v="0"/>
    <x v="0"/>
    <n v="20"/>
    <n v="20"/>
    <n v="45"/>
  </r>
  <r>
    <n v="3316"/>
    <s v="Yasmin Figueiredo"/>
    <x v="2"/>
    <d v="2024-05-21T00:00:00"/>
    <x v="1"/>
    <n v="10"/>
    <x v="2"/>
    <s v="No"/>
    <x v="1"/>
    <x v="0"/>
    <n v="20"/>
    <n v="15"/>
    <n v="15"/>
  </r>
  <r>
    <n v="3317"/>
    <s v="Zara Cunha"/>
    <x v="1"/>
    <d v="2024-05-22T00:00:00"/>
    <x v="0"/>
    <n v="5"/>
    <x v="0"/>
    <s v="No"/>
    <x v="1"/>
    <x v="1"/>
    <n v="0"/>
    <n v="1"/>
    <n v="4"/>
  </r>
  <r>
    <n v="3318"/>
    <s v="Alan Teixeira"/>
    <x v="0"/>
    <d v="2024-05-23T00:00:00"/>
    <x v="1"/>
    <n v="15"/>
    <x v="1"/>
    <s v="Yes"/>
    <x v="0"/>
    <x v="0"/>
    <n v="20"/>
    <n v="3"/>
    <n v="62"/>
  </r>
  <r>
    <n v="3319"/>
    <s v="Bárbara Oliveira"/>
    <x v="2"/>
    <d v="2024-05-24T00:00:00"/>
    <x v="0"/>
    <n v="10"/>
    <x v="0"/>
    <s v="No"/>
    <x v="1"/>
    <x v="0"/>
    <n v="20"/>
    <n v="10"/>
    <n v="20"/>
  </r>
  <r>
    <n v="3320"/>
    <s v="Carlos Junqueira"/>
    <x v="1"/>
    <d v="2024-05-25T00:00:00"/>
    <x v="1"/>
    <n v="5"/>
    <x v="2"/>
    <s v="No"/>
    <x v="1"/>
    <x v="1"/>
    <n v="0"/>
    <n v="0"/>
    <n v="5"/>
  </r>
  <r>
    <n v="3321"/>
    <s v="Daniela Moura"/>
    <x v="0"/>
    <d v="2024-05-26T00:00:00"/>
    <x v="0"/>
    <n v="15"/>
    <x v="0"/>
    <s v="Yes"/>
    <x v="0"/>
    <x v="0"/>
    <n v="20"/>
    <n v="5"/>
    <n v="60"/>
  </r>
  <r>
    <n v="3322"/>
    <s v="Eduardo Lima"/>
    <x v="2"/>
    <d v="2024-05-27T00:00:00"/>
    <x v="1"/>
    <n v="10"/>
    <x v="1"/>
    <s v="No"/>
    <x v="1"/>
    <x v="0"/>
    <n v="20"/>
    <n v="15"/>
    <n v="15"/>
  </r>
  <r>
    <n v="3323"/>
    <s v="Fabiana Araújo"/>
    <x v="1"/>
    <d v="2024-05-28T00:00:00"/>
    <x v="0"/>
    <n v="5"/>
    <x v="0"/>
    <s v="No"/>
    <x v="1"/>
    <x v="1"/>
    <n v="0"/>
    <n v="1"/>
    <n v="4"/>
  </r>
  <r>
    <n v="3324"/>
    <s v="Geraldo Ribeiro"/>
    <x v="0"/>
    <d v="2024-05-29T00:00:00"/>
    <x v="1"/>
    <n v="15"/>
    <x v="2"/>
    <s v="Yes"/>
    <x v="0"/>
    <x v="0"/>
    <n v="20"/>
    <n v="20"/>
    <n v="45"/>
  </r>
  <r>
    <n v="3325"/>
    <s v="Héctor Vargas"/>
    <x v="2"/>
    <d v="2024-05-30T00:00:00"/>
    <x v="0"/>
    <n v="10"/>
    <x v="2"/>
    <s v="No"/>
    <x v="1"/>
    <x v="0"/>
    <n v="20"/>
    <n v="15"/>
    <n v="15"/>
  </r>
  <r>
    <n v="3326"/>
    <s v="Isabela Fonseca"/>
    <x v="1"/>
    <d v="2024-05-31T00:00:00"/>
    <x v="1"/>
    <n v="5"/>
    <x v="1"/>
    <s v="No"/>
    <x v="1"/>
    <x v="1"/>
    <n v="0"/>
    <n v="0"/>
    <n v="5"/>
  </r>
  <r>
    <n v="3327"/>
    <s v="João Pedro Almeida"/>
    <x v="0"/>
    <d v="2024-06-01T00:00:00"/>
    <x v="0"/>
    <n v="15"/>
    <x v="0"/>
    <s v="Yes"/>
    <x v="0"/>
    <x v="0"/>
    <n v="20"/>
    <n v="7"/>
    <n v="58"/>
  </r>
  <r>
    <n v="3328"/>
    <s v="Klara Costa"/>
    <x v="2"/>
    <d v="2024-06-02T00:00:00"/>
    <x v="1"/>
    <n v="10"/>
    <x v="1"/>
    <s v="No"/>
    <x v="1"/>
    <x v="0"/>
    <n v="20"/>
    <n v="10"/>
    <n v="20"/>
  </r>
  <r>
    <n v="3329"/>
    <s v="Luciana Mendes"/>
    <x v="1"/>
    <d v="2024-06-03T00:00:00"/>
    <x v="0"/>
    <n v="5"/>
    <x v="2"/>
    <s v="No"/>
    <x v="1"/>
    <x v="1"/>
    <n v="0"/>
    <n v="1"/>
    <n v="4"/>
  </r>
  <r>
    <n v="3330"/>
    <s v="Marcelo Gouveia"/>
    <x v="0"/>
    <d v="2024-06-04T00:00:00"/>
    <x v="1"/>
    <n v="15"/>
    <x v="0"/>
    <s v="Yes"/>
    <x v="0"/>
    <x v="0"/>
    <n v="20"/>
    <n v="15"/>
    <n v="50"/>
  </r>
  <r>
    <n v="3331"/>
    <s v="Nívea Borges"/>
    <x v="2"/>
    <d v="2024-06-05T00:00:00"/>
    <x v="0"/>
    <n v="10"/>
    <x v="0"/>
    <s v="No"/>
    <x v="1"/>
    <x v="0"/>
    <n v="20"/>
    <n v="5"/>
    <n v="25"/>
  </r>
  <r>
    <n v="3332"/>
    <s v="Oscar Nogueira"/>
    <x v="1"/>
    <d v="2024-06-06T00:00:00"/>
    <x v="1"/>
    <n v="5"/>
    <x v="1"/>
    <s v="No"/>
    <x v="1"/>
    <x v="1"/>
    <n v="0"/>
    <n v="0"/>
    <n v="5"/>
  </r>
  <r>
    <n v="3333"/>
    <s v="Patrícia Alves"/>
    <x v="0"/>
    <d v="2024-06-07T00:00:00"/>
    <x v="0"/>
    <n v="15"/>
    <x v="2"/>
    <s v="Yes"/>
    <x v="0"/>
    <x v="0"/>
    <n v="20"/>
    <n v="20"/>
    <n v="45"/>
  </r>
  <r>
    <n v="3334"/>
    <s v="Rafaela Silva"/>
    <x v="2"/>
    <d v="2024-06-08T00:00:00"/>
    <x v="1"/>
    <n v="10"/>
    <x v="2"/>
    <s v="No"/>
    <x v="1"/>
    <x v="0"/>
    <n v="20"/>
    <n v="12"/>
    <n v="18"/>
  </r>
  <r>
    <n v="3335"/>
    <s v="Samantha Moraes"/>
    <x v="1"/>
    <d v="2024-06-09T00:00:00"/>
    <x v="0"/>
    <n v="5"/>
    <x v="0"/>
    <s v="No"/>
    <x v="1"/>
    <x v="1"/>
    <n v="0"/>
    <n v="2"/>
    <n v="3"/>
  </r>
  <r>
    <n v="3336"/>
    <s v="Tatiana Rocha"/>
    <x v="1"/>
    <d v="2024-06-10T00:00:00"/>
    <x v="0"/>
    <n v="5"/>
    <x v="0"/>
    <s v="No"/>
    <x v="1"/>
    <x v="1"/>
    <n v="0"/>
    <n v="0"/>
    <n v="5"/>
  </r>
  <r>
    <n v="3337"/>
    <s v="Ulisses Tavares"/>
    <x v="0"/>
    <d v="2024-06-11T00:00:00"/>
    <x v="1"/>
    <n v="15"/>
    <x v="2"/>
    <s v="Yes"/>
    <x v="0"/>
    <x v="0"/>
    <n v="20"/>
    <n v="7"/>
    <n v="58"/>
  </r>
  <r>
    <n v="3338"/>
    <s v="Víctor Lemos"/>
    <x v="2"/>
    <d v="2024-06-12T00:00:00"/>
    <x v="0"/>
    <n v="10"/>
    <x v="1"/>
    <s v="No"/>
    <x v="1"/>
    <x v="0"/>
    <n v="20"/>
    <n v="10"/>
    <n v="20"/>
  </r>
  <r>
    <n v="3339"/>
    <s v="Wilma Barros"/>
    <x v="1"/>
    <d v="2024-06-13T00:00:00"/>
    <x v="1"/>
    <n v="5"/>
    <x v="2"/>
    <s v="No"/>
    <x v="1"/>
    <x v="1"/>
    <n v="0"/>
    <n v="1"/>
    <n v="4"/>
  </r>
  <r>
    <n v="3340"/>
    <s v="Xavier Nascimento"/>
    <x v="0"/>
    <d v="2024-06-14T00:00:00"/>
    <x v="0"/>
    <n v="15"/>
    <x v="0"/>
    <s v="Yes"/>
    <x v="0"/>
    <x v="0"/>
    <n v="20"/>
    <n v="15"/>
    <n v="50"/>
  </r>
  <r>
    <n v="3341"/>
    <s v="Yago Pereira"/>
    <x v="2"/>
    <d v="2024-06-15T00:00:00"/>
    <x v="1"/>
    <n v="10"/>
    <x v="0"/>
    <s v="No"/>
    <x v="1"/>
    <x v="0"/>
    <n v="20"/>
    <n v="5"/>
    <n v="25"/>
  </r>
  <r>
    <n v="3342"/>
    <s v="Zilda Ferreira"/>
    <x v="1"/>
    <d v="2024-06-16T00:00:00"/>
    <x v="0"/>
    <n v="5"/>
    <x v="1"/>
    <s v="No"/>
    <x v="1"/>
    <x v="1"/>
    <n v="0"/>
    <n v="0"/>
    <n v="5"/>
  </r>
  <r>
    <n v="3343"/>
    <s v="Amanda Lopes"/>
    <x v="0"/>
    <d v="2024-06-17T00:00:00"/>
    <x v="1"/>
    <n v="15"/>
    <x v="2"/>
    <s v="Yes"/>
    <x v="0"/>
    <x v="0"/>
    <n v="20"/>
    <n v="20"/>
    <n v="45"/>
  </r>
  <r>
    <n v="3344"/>
    <s v="Bruno Miranda"/>
    <x v="2"/>
    <d v="2024-06-18T00:00:00"/>
    <x v="0"/>
    <n v="10"/>
    <x v="2"/>
    <s v="No"/>
    <x v="1"/>
    <x v="0"/>
    <n v="20"/>
    <n v="12"/>
    <n v="18"/>
  </r>
  <r>
    <n v="3345"/>
    <s v="Célia Torres"/>
    <x v="1"/>
    <d v="2024-06-19T00:00:00"/>
    <x v="1"/>
    <n v="5"/>
    <x v="0"/>
    <s v="No"/>
    <x v="1"/>
    <x v="1"/>
    <n v="0"/>
    <n v="2"/>
    <n v="3"/>
  </r>
  <r>
    <n v="3346"/>
    <s v="Diogo Souza"/>
    <x v="0"/>
    <d v="2024-06-20T00:00:00"/>
    <x v="0"/>
    <n v="15"/>
    <x v="1"/>
    <s v="Yes"/>
    <x v="0"/>
    <x v="0"/>
    <n v="20"/>
    <n v="5"/>
    <n v="60"/>
  </r>
  <r>
    <n v="3347"/>
    <s v="Elisa Castro"/>
    <x v="2"/>
    <d v="2024-06-21T00:00:00"/>
    <x v="1"/>
    <n v="10"/>
    <x v="0"/>
    <s v="No"/>
    <x v="1"/>
    <x v="0"/>
    <n v="20"/>
    <n v="10"/>
    <n v="20"/>
  </r>
  <r>
    <n v="3348"/>
    <s v="Fátima Lima"/>
    <x v="1"/>
    <d v="2024-06-22T00:00:00"/>
    <x v="0"/>
    <n v="5"/>
    <x v="2"/>
    <s v="No"/>
    <x v="1"/>
    <x v="1"/>
    <n v="0"/>
    <n v="0"/>
    <n v="5"/>
  </r>
  <r>
    <n v="3349"/>
    <s v="Geraldo Ribeiro"/>
    <x v="0"/>
    <d v="2024-06-23T00:00:00"/>
    <x v="1"/>
    <n v="15"/>
    <x v="0"/>
    <s v="Yes"/>
    <x v="0"/>
    <x v="0"/>
    <n v="20"/>
    <n v="3"/>
    <n v="62"/>
  </r>
  <r>
    <n v="3350"/>
    <s v="Hélio Martins"/>
    <x v="2"/>
    <d v="2024-06-24T00:00:00"/>
    <x v="0"/>
    <n v="10"/>
    <x v="1"/>
    <s v="No"/>
    <x v="1"/>
    <x v="0"/>
    <n v="20"/>
    <n v="15"/>
    <n v="15"/>
  </r>
  <r>
    <n v="3351"/>
    <s v="Íris Santos"/>
    <x v="1"/>
    <d v="2024-06-25T00:00:00"/>
    <x v="1"/>
    <n v="5"/>
    <x v="0"/>
    <s v="No"/>
    <x v="1"/>
    <x v="1"/>
    <n v="0"/>
    <n v="1"/>
    <n v="4"/>
  </r>
  <r>
    <n v="3352"/>
    <s v="João Marcelo"/>
    <x v="0"/>
    <d v="2024-06-26T00:00:00"/>
    <x v="0"/>
    <n v="15"/>
    <x v="2"/>
    <s v="Yes"/>
    <x v="0"/>
    <x v="0"/>
    <n v="20"/>
    <n v="7"/>
    <n v="58"/>
  </r>
  <r>
    <n v="3353"/>
    <s v="Larissa Gomes"/>
    <x v="2"/>
    <d v="2024-06-27T00:00:00"/>
    <x v="1"/>
    <n v="10"/>
    <x v="0"/>
    <s v="No"/>
    <x v="1"/>
    <x v="0"/>
    <n v="20"/>
    <n v="10"/>
    <n v="20"/>
  </r>
  <r>
    <n v="3354"/>
    <s v="Márcio Silva"/>
    <x v="1"/>
    <d v="2024-06-28T00:00:00"/>
    <x v="0"/>
    <n v="5"/>
    <x v="1"/>
    <s v="No"/>
    <x v="1"/>
    <x v="1"/>
    <n v="0"/>
    <n v="0"/>
    <n v="5"/>
  </r>
  <r>
    <n v="3355"/>
    <s v="Nadia Costa"/>
    <x v="0"/>
    <d v="2024-06-29T00:00:00"/>
    <x v="1"/>
    <n v="15"/>
    <x v="0"/>
    <s v="Yes"/>
    <x v="0"/>
    <x v="0"/>
    <n v="20"/>
    <n v="20"/>
    <n v="45"/>
  </r>
  <r>
    <n v="3356"/>
    <s v="Oscar Almeida"/>
    <x v="2"/>
    <d v="2024-06-30T00:00:00"/>
    <x v="0"/>
    <n v="10"/>
    <x v="2"/>
    <s v="No"/>
    <x v="1"/>
    <x v="0"/>
    <n v="20"/>
    <n v="15"/>
    <n v="15"/>
  </r>
  <r>
    <n v="3357"/>
    <s v="Patricia Soares"/>
    <x v="1"/>
    <d v="2024-07-01T00:00:00"/>
    <x v="1"/>
    <n v="5"/>
    <x v="0"/>
    <s v="No"/>
    <x v="1"/>
    <x v="1"/>
    <n v="0"/>
    <n v="1"/>
    <n v="4"/>
  </r>
  <r>
    <n v="3358"/>
    <s v="Quênia Barros"/>
    <x v="0"/>
    <d v="2024-07-02T00:00:00"/>
    <x v="0"/>
    <n v="15"/>
    <x v="1"/>
    <s v="Yes"/>
    <x v="0"/>
    <x v="0"/>
    <n v="20"/>
    <n v="3"/>
    <n v="62"/>
  </r>
  <r>
    <n v="3359"/>
    <s v="Rafael Torres"/>
    <x v="2"/>
    <d v="2024-07-03T00:00:00"/>
    <x v="1"/>
    <n v="10"/>
    <x v="0"/>
    <s v="No"/>
    <x v="1"/>
    <x v="0"/>
    <n v="20"/>
    <n v="10"/>
    <n v="20"/>
  </r>
  <r>
    <n v="3360"/>
    <s v="Silvia Nascimento"/>
    <x v="1"/>
    <d v="2024-07-04T00:00:00"/>
    <x v="0"/>
    <n v="5"/>
    <x v="2"/>
    <s v="No"/>
    <x v="1"/>
    <x v="1"/>
    <n v="0"/>
    <n v="0"/>
    <n v="5"/>
  </r>
  <r>
    <n v="3361"/>
    <s v="Tiago Mendes"/>
    <x v="0"/>
    <d v="2024-07-05T00:00:00"/>
    <x v="1"/>
    <n v="15"/>
    <x v="0"/>
    <s v="Yes"/>
    <x v="0"/>
    <x v="0"/>
    <n v="20"/>
    <n v="15"/>
    <n v="50"/>
  </r>
  <r>
    <n v="3362"/>
    <s v="Ursula Silva"/>
    <x v="2"/>
    <d v="2024-07-06T00:00:00"/>
    <x v="0"/>
    <n v="10"/>
    <x v="1"/>
    <s v="No"/>
    <x v="1"/>
    <x v="0"/>
    <n v="20"/>
    <n v="15"/>
    <n v="15"/>
  </r>
  <r>
    <n v="3363"/>
    <s v="Vanessa Moraes"/>
    <x v="1"/>
    <d v="2024-07-07T00:00:00"/>
    <x v="1"/>
    <n v="5"/>
    <x v="0"/>
    <s v="No"/>
    <x v="1"/>
    <x v="1"/>
    <n v="0"/>
    <n v="1"/>
    <n v="4"/>
  </r>
  <r>
    <n v="3364"/>
    <s v="Waldir Junior"/>
    <x v="0"/>
    <d v="2024-07-08T00:00:00"/>
    <x v="0"/>
    <n v="15"/>
    <x v="2"/>
    <s v="Yes"/>
    <x v="0"/>
    <x v="0"/>
    <n v="20"/>
    <n v="7"/>
    <n v="58"/>
  </r>
  <r>
    <n v="3365"/>
    <s v="Xavier Lopes"/>
    <x v="2"/>
    <d v="2024-07-09T00:00:00"/>
    <x v="1"/>
    <n v="10"/>
    <x v="0"/>
    <s v="No"/>
    <x v="1"/>
    <x v="0"/>
    <n v="20"/>
    <n v="10"/>
    <n v="20"/>
  </r>
  <r>
    <n v="3366"/>
    <s v="Yolanda Freitas"/>
    <x v="1"/>
    <d v="2024-07-10T00:00:00"/>
    <x v="0"/>
    <n v="5"/>
    <x v="0"/>
    <s v="No"/>
    <x v="1"/>
    <x v="1"/>
    <n v="0"/>
    <n v="0"/>
    <n v="5"/>
  </r>
  <r>
    <n v="3367"/>
    <s v="Zacarias Nunes"/>
    <x v="0"/>
    <d v="2024-07-11T00:00:00"/>
    <x v="1"/>
    <n v="15"/>
    <x v="2"/>
    <s v="Yes"/>
    <x v="0"/>
    <x v="0"/>
    <n v="20"/>
    <n v="7"/>
    <n v="58"/>
  </r>
  <r>
    <n v="3368"/>
    <s v="Ana Clara Barreto"/>
    <x v="2"/>
    <d v="2024-07-12T00:00:00"/>
    <x v="0"/>
    <n v="10"/>
    <x v="1"/>
    <s v="No"/>
    <x v="1"/>
    <x v="0"/>
    <n v="20"/>
    <n v="10"/>
    <n v="20"/>
  </r>
  <r>
    <n v="3369"/>
    <s v="Bruno Henrique"/>
    <x v="1"/>
    <d v="2024-07-13T00:00:00"/>
    <x v="1"/>
    <n v="5"/>
    <x v="2"/>
    <s v="No"/>
    <x v="1"/>
    <x v="1"/>
    <n v="0"/>
    <n v="1"/>
    <n v="4"/>
  </r>
  <r>
    <n v="3370"/>
    <s v="Carlos Eduardo"/>
    <x v="0"/>
    <d v="2024-07-14T00:00:00"/>
    <x v="0"/>
    <n v="15"/>
    <x v="0"/>
    <s v="Yes"/>
    <x v="0"/>
    <x v="0"/>
    <n v="20"/>
    <n v="15"/>
    <n v="50"/>
  </r>
  <r>
    <n v="3371"/>
    <s v="Débora Lima"/>
    <x v="2"/>
    <d v="2024-07-15T00:00:00"/>
    <x v="1"/>
    <n v="10"/>
    <x v="0"/>
    <s v="No"/>
    <x v="1"/>
    <x v="0"/>
    <n v="20"/>
    <n v="5"/>
    <n v="25"/>
  </r>
  <r>
    <n v="3372"/>
    <s v="Elisa Neves"/>
    <x v="1"/>
    <d v="2024-07-16T00:00:00"/>
    <x v="0"/>
    <n v="5"/>
    <x v="1"/>
    <s v="No"/>
    <x v="1"/>
    <x v="1"/>
    <n v="0"/>
    <n v="0"/>
    <n v="5"/>
  </r>
  <r>
    <n v="3373"/>
    <s v="Fabiano Gomes"/>
    <x v="0"/>
    <d v="2024-07-17T00:00:00"/>
    <x v="1"/>
    <n v="15"/>
    <x v="2"/>
    <s v="Yes"/>
    <x v="0"/>
    <x v="0"/>
    <n v="20"/>
    <n v="20"/>
    <n v="45"/>
  </r>
  <r>
    <n v="3374"/>
    <s v="Gisele Oliveira"/>
    <x v="2"/>
    <d v="2024-07-18T00:00:00"/>
    <x v="0"/>
    <n v="10"/>
    <x v="2"/>
    <s v="No"/>
    <x v="1"/>
    <x v="0"/>
    <n v="20"/>
    <n v="12"/>
    <n v="18"/>
  </r>
  <r>
    <n v="3375"/>
    <s v="Héctor Silva"/>
    <x v="1"/>
    <d v="2024-07-19T00:00:00"/>
    <x v="1"/>
    <n v="5"/>
    <x v="0"/>
    <s v="No"/>
    <x v="1"/>
    <x v="1"/>
    <n v="0"/>
    <n v="2"/>
    <n v="3"/>
  </r>
  <r>
    <n v="3376"/>
    <s v="Igor Martins"/>
    <x v="0"/>
    <d v="2024-07-20T00:00:00"/>
    <x v="0"/>
    <n v="15"/>
    <x v="1"/>
    <s v="Yes"/>
    <x v="0"/>
    <x v="0"/>
    <n v="20"/>
    <n v="5"/>
    <n v="60"/>
  </r>
  <r>
    <n v="3377"/>
    <s v="Joana Figueiredo"/>
    <x v="2"/>
    <d v="2024-07-21T00:00:00"/>
    <x v="1"/>
    <n v="10"/>
    <x v="0"/>
    <s v="No"/>
    <x v="1"/>
    <x v="0"/>
    <n v="20"/>
    <n v="10"/>
    <n v="20"/>
  </r>
  <r>
    <n v="3378"/>
    <s v="Kleber Machado"/>
    <x v="1"/>
    <d v="2024-07-22T00:00:00"/>
    <x v="0"/>
    <n v="5"/>
    <x v="2"/>
    <s v="No"/>
    <x v="1"/>
    <x v="1"/>
    <n v="0"/>
    <n v="0"/>
    <n v="5"/>
  </r>
  <r>
    <n v="3379"/>
    <s v="Luciana Santos"/>
    <x v="0"/>
    <d v="2024-07-23T00:00:00"/>
    <x v="1"/>
    <n v="15"/>
    <x v="0"/>
    <s v="Yes"/>
    <x v="0"/>
    <x v="0"/>
    <n v="20"/>
    <n v="3"/>
    <n v="62"/>
  </r>
  <r>
    <n v="3380"/>
    <s v="Marcos Teixeira"/>
    <x v="2"/>
    <d v="2024-07-24T00:00:00"/>
    <x v="0"/>
    <n v="10"/>
    <x v="1"/>
    <s v="No"/>
    <x v="1"/>
    <x v="0"/>
    <n v="20"/>
    <n v="15"/>
    <n v="15"/>
  </r>
  <r>
    <n v="3381"/>
    <s v="Natalia Costa"/>
    <x v="1"/>
    <d v="2024-07-25T00:00:00"/>
    <x v="1"/>
    <n v="5"/>
    <x v="0"/>
    <s v="No"/>
    <x v="1"/>
    <x v="1"/>
    <n v="0"/>
    <n v="1"/>
    <n v="4"/>
  </r>
  <r>
    <n v="3382"/>
    <s v="Oscar Ribeiro"/>
    <x v="0"/>
    <d v="2024-07-26T00:00:00"/>
    <x v="0"/>
    <n v="15"/>
    <x v="2"/>
    <s v="Yes"/>
    <x v="0"/>
    <x v="0"/>
    <n v="20"/>
    <n v="7"/>
    <n v="58"/>
  </r>
  <r>
    <n v="3383"/>
    <s v="Patricia Almeida"/>
    <x v="2"/>
    <d v="2024-07-27T00:00:00"/>
    <x v="1"/>
    <n v="10"/>
    <x v="0"/>
    <s v="No"/>
    <x v="1"/>
    <x v="0"/>
    <n v="20"/>
    <n v="10"/>
    <n v="20"/>
  </r>
  <r>
    <n v="3384"/>
    <s v="Quirino Junior"/>
    <x v="1"/>
    <d v="2024-07-28T00:00:00"/>
    <x v="0"/>
    <n v="5"/>
    <x v="1"/>
    <s v="No"/>
    <x v="1"/>
    <x v="1"/>
    <n v="0"/>
    <n v="0"/>
    <n v="5"/>
  </r>
  <r>
    <n v="3385"/>
    <s v="Renata Machado"/>
    <x v="0"/>
    <d v="2024-07-29T00:00:00"/>
    <x v="1"/>
    <n v="15"/>
    <x v="0"/>
    <s v="Yes"/>
    <x v="0"/>
    <x v="0"/>
    <n v="20"/>
    <n v="20"/>
    <n v="45"/>
  </r>
  <r>
    <n v="3386"/>
    <s v="Sônia Alves"/>
    <x v="2"/>
    <d v="2024-07-30T00:00:00"/>
    <x v="0"/>
    <n v="10"/>
    <x v="2"/>
    <s v="No"/>
    <x v="1"/>
    <x v="0"/>
    <n v="20"/>
    <n v="15"/>
    <n v="15"/>
  </r>
  <r>
    <n v="3387"/>
    <s v="Tiago Nunes"/>
    <x v="1"/>
    <d v="2024-07-31T00:00:00"/>
    <x v="1"/>
    <n v="5"/>
    <x v="0"/>
    <s v="No"/>
    <x v="1"/>
    <x v="1"/>
    <n v="0"/>
    <n v="1"/>
    <n v="4"/>
  </r>
  <r>
    <n v="3388"/>
    <s v="Ulysses Pereira"/>
    <x v="0"/>
    <d v="2024-08-01T00:00:00"/>
    <x v="0"/>
    <n v="15"/>
    <x v="1"/>
    <s v="Yes"/>
    <x v="0"/>
    <x v="0"/>
    <n v="20"/>
    <n v="3"/>
    <n v="62"/>
  </r>
  <r>
    <n v="3389"/>
    <s v="Vanessa Lima"/>
    <x v="2"/>
    <d v="2024-08-02T00:00:00"/>
    <x v="1"/>
    <n v="10"/>
    <x v="0"/>
    <s v="No"/>
    <x v="1"/>
    <x v="0"/>
    <n v="20"/>
    <n v="10"/>
    <n v="20"/>
  </r>
  <r>
    <n v="3390"/>
    <s v="Wagner Santos"/>
    <x v="1"/>
    <d v="2024-08-03T00:00:00"/>
    <x v="0"/>
    <n v="5"/>
    <x v="2"/>
    <s v="No"/>
    <x v="1"/>
    <x v="1"/>
    <n v="0"/>
    <n v="0"/>
    <n v="5"/>
  </r>
  <r>
    <n v="3391"/>
    <s v="Xuxa Meneghel"/>
    <x v="0"/>
    <d v="2024-08-04T00:00:00"/>
    <x v="1"/>
    <n v="15"/>
    <x v="0"/>
    <s v="Yes"/>
    <x v="0"/>
    <x v="0"/>
    <n v="20"/>
    <n v="15"/>
    <n v="50"/>
  </r>
  <r>
    <n v="3392"/>
    <s v="Yasmin Silva"/>
    <x v="2"/>
    <d v="2024-08-05T00:00:00"/>
    <x v="0"/>
    <n v="10"/>
    <x v="1"/>
    <s v="No"/>
    <x v="1"/>
    <x v="0"/>
    <n v="20"/>
    <n v="15"/>
    <n v="15"/>
  </r>
  <r>
    <n v="3393"/>
    <s v="Zacarias de Souza"/>
    <x v="1"/>
    <d v="2024-08-06T00:00:00"/>
    <x v="1"/>
    <n v="5"/>
    <x v="0"/>
    <s v="No"/>
    <x v="1"/>
    <x v="1"/>
    <n v="0"/>
    <n v="1"/>
    <n v="4"/>
  </r>
  <r>
    <n v="3394"/>
    <s v="André Lima"/>
    <x v="0"/>
    <d v="2024-08-07T00:00:00"/>
    <x v="0"/>
    <n v="15"/>
    <x v="2"/>
    <s v="Yes"/>
    <x v="0"/>
    <x v="0"/>
    <n v="20"/>
    <n v="7"/>
    <n v="58"/>
  </r>
  <r>
    <n v="3395"/>
    <s v="Bianca Freitas"/>
    <x v="2"/>
    <d v="2024-08-08T00:00:00"/>
    <x v="1"/>
    <n v="10"/>
    <x v="0"/>
    <s v="No"/>
    <x v="1"/>
    <x v="0"/>
    <n v="20"/>
    <n v="10"/>
    <n v="20"/>
  </r>
  <r>
    <n v="3396"/>
    <s v="Caio Mendes"/>
    <x v="1"/>
    <d v="2024-08-09T00:00:00"/>
    <x v="0"/>
    <n v="5"/>
    <x v="1"/>
    <s v="No"/>
    <x v="1"/>
    <x v="1"/>
    <n v="0"/>
    <n v="0"/>
    <n v="5"/>
  </r>
  <r>
    <n v="3397"/>
    <s v="Daniela Moura"/>
    <x v="0"/>
    <d v="2024-08-10T00:00:00"/>
    <x v="1"/>
    <n v="15"/>
    <x v="0"/>
    <s v="Yes"/>
    <x v="0"/>
    <x v="0"/>
    <n v="20"/>
    <n v="20"/>
    <n v="45"/>
  </r>
  <r>
    <n v="3398"/>
    <s v="Eduardo Costa"/>
    <x v="2"/>
    <d v="2024-08-11T00:00:00"/>
    <x v="0"/>
    <n v="10"/>
    <x v="2"/>
    <s v="No"/>
    <x v="1"/>
    <x v="0"/>
    <n v="20"/>
    <n v="15"/>
    <n v="15"/>
  </r>
  <r>
    <n v="3399"/>
    <s v="Fernanda Gomes"/>
    <x v="1"/>
    <d v="2024-08-12T00:00:00"/>
    <x v="1"/>
    <n v="5"/>
    <x v="0"/>
    <s v="No"/>
    <x v="1"/>
    <x v="1"/>
    <n v="0"/>
    <n v="1"/>
    <n v="4"/>
  </r>
  <r>
    <n v="3400"/>
    <s v="Guilherme Souza"/>
    <x v="0"/>
    <d v="2024-08-13T00:00:00"/>
    <x v="0"/>
    <n v="15"/>
    <x v="1"/>
    <s v="Yes"/>
    <x v="0"/>
    <x v="0"/>
    <n v="20"/>
    <n v="5"/>
    <n v="60"/>
  </r>
  <r>
    <n v="3401"/>
    <s v="Helena Ribeiro"/>
    <x v="2"/>
    <d v="2024-08-14T00:00:00"/>
    <x v="1"/>
    <n v="10"/>
    <x v="0"/>
    <s v="No"/>
    <x v="1"/>
    <x v="0"/>
    <n v="20"/>
    <n v="10"/>
    <n v="20"/>
  </r>
  <r>
    <n v="3402"/>
    <s v="Igor Santos"/>
    <x v="1"/>
    <d v="2024-08-15T00:00:00"/>
    <x v="0"/>
    <n v="5"/>
    <x v="2"/>
    <s v="No"/>
    <x v="1"/>
    <x v="1"/>
    <n v="0"/>
    <n v="0"/>
    <n v="5"/>
  </r>
  <r>
    <n v="3403"/>
    <s v="João Carvalho"/>
    <x v="0"/>
    <d v="2024-08-16T00:00:00"/>
    <x v="1"/>
    <n v="15"/>
    <x v="0"/>
    <s v="Yes"/>
    <x v="0"/>
    <x v="0"/>
    <n v="20"/>
    <n v="3"/>
    <n v="62"/>
  </r>
  <r>
    <n v="3404"/>
    <s v="Klara Fagundes"/>
    <x v="2"/>
    <d v="2024-08-17T00:00:00"/>
    <x v="0"/>
    <n v="10"/>
    <x v="1"/>
    <s v="No"/>
    <x v="1"/>
    <x v="0"/>
    <n v="20"/>
    <n v="15"/>
    <n v="15"/>
  </r>
  <r>
    <n v="3405"/>
    <s v="Lúcia Mendonça"/>
    <x v="1"/>
    <d v="2024-08-18T00:00:00"/>
    <x v="1"/>
    <n v="5"/>
    <x v="0"/>
    <s v="No"/>
    <x v="1"/>
    <x v="1"/>
    <n v="0"/>
    <n v="1"/>
    <n v="4"/>
  </r>
  <r>
    <n v="3406"/>
    <s v="Marcelo Novaes"/>
    <x v="1"/>
    <d v="2024-08-19T00:00:00"/>
    <x v="0"/>
    <n v="5"/>
    <x v="0"/>
    <s v="No"/>
    <x v="1"/>
    <x v="1"/>
    <n v="0"/>
    <n v="0"/>
    <n v="5"/>
  </r>
  <r>
    <n v="3407"/>
    <s v="Nina Pacheco"/>
    <x v="0"/>
    <d v="2024-08-20T00:00:00"/>
    <x v="1"/>
    <n v="15"/>
    <x v="2"/>
    <s v="Yes"/>
    <x v="0"/>
    <x v="0"/>
    <n v="20"/>
    <n v="7"/>
    <n v="58"/>
  </r>
  <r>
    <n v="3408"/>
    <s v="Olívia Rios"/>
    <x v="2"/>
    <d v="2024-08-21T00:00:00"/>
    <x v="0"/>
    <n v="10"/>
    <x v="1"/>
    <s v="No"/>
    <x v="1"/>
    <x v="0"/>
    <n v="20"/>
    <n v="10"/>
    <n v="20"/>
  </r>
  <r>
    <n v="3409"/>
    <s v="Paulo Quintana"/>
    <x v="1"/>
    <d v="2024-08-22T00:00:00"/>
    <x v="1"/>
    <n v="5"/>
    <x v="2"/>
    <s v="No"/>
    <x v="1"/>
    <x v="1"/>
    <n v="0"/>
    <n v="1"/>
    <n v="4"/>
  </r>
  <r>
    <n v="3410"/>
    <s v="Raquel Domingos"/>
    <x v="0"/>
    <d v="2024-08-23T00:00:00"/>
    <x v="0"/>
    <n v="15"/>
    <x v="0"/>
    <s v="Yes"/>
    <x v="0"/>
    <x v="0"/>
    <n v="20"/>
    <n v="15"/>
    <n v="50"/>
  </r>
  <r>
    <n v="3411"/>
    <s v="Samuel Viana"/>
    <x v="2"/>
    <d v="2024-08-24T00:00:00"/>
    <x v="1"/>
    <n v="10"/>
    <x v="0"/>
    <s v="No"/>
    <x v="1"/>
    <x v="0"/>
    <n v="20"/>
    <n v="5"/>
    <n v="25"/>
  </r>
  <r>
    <n v="3412"/>
    <s v="Tatiane Rocha"/>
    <x v="1"/>
    <d v="2024-08-25T00:00:00"/>
    <x v="0"/>
    <n v="5"/>
    <x v="1"/>
    <s v="No"/>
    <x v="1"/>
    <x v="1"/>
    <n v="0"/>
    <n v="0"/>
    <n v="5"/>
  </r>
  <r>
    <n v="3413"/>
    <s v="Ulysses Farias"/>
    <x v="0"/>
    <d v="2024-08-26T00:00:00"/>
    <x v="1"/>
    <n v="15"/>
    <x v="2"/>
    <s v="Yes"/>
    <x v="0"/>
    <x v="0"/>
    <n v="20"/>
    <n v="20"/>
    <n v="45"/>
  </r>
  <r>
    <n v="3414"/>
    <s v="Vanessa Moreira"/>
    <x v="2"/>
    <d v="2024-08-27T00:00:00"/>
    <x v="0"/>
    <n v="10"/>
    <x v="2"/>
    <s v="No"/>
    <x v="1"/>
    <x v="0"/>
    <n v="20"/>
    <n v="12"/>
    <n v="18"/>
  </r>
  <r>
    <n v="3415"/>
    <s v="William Carvalho"/>
    <x v="1"/>
    <d v="2024-08-28T00:00:00"/>
    <x v="1"/>
    <n v="5"/>
    <x v="0"/>
    <s v="No"/>
    <x v="1"/>
    <x v="1"/>
    <n v="0"/>
    <n v="2"/>
    <n v="3"/>
  </r>
  <r>
    <n v="3416"/>
    <s v="Ximena Barros"/>
    <x v="0"/>
    <d v="2024-08-29T00:00:00"/>
    <x v="0"/>
    <n v="15"/>
    <x v="1"/>
    <s v="Yes"/>
    <x v="0"/>
    <x v="0"/>
    <n v="20"/>
    <n v="5"/>
    <n v="60"/>
  </r>
  <r>
    <n v="3417"/>
    <s v="Yara Machado"/>
    <x v="2"/>
    <d v="2024-08-30T00:00:00"/>
    <x v="1"/>
    <n v="10"/>
    <x v="0"/>
    <s v="No"/>
    <x v="1"/>
    <x v="0"/>
    <n v="20"/>
    <n v="10"/>
    <n v="20"/>
  </r>
  <r>
    <n v="3418"/>
    <s v="Zacarias Costa"/>
    <x v="1"/>
    <d v="2024-08-31T00:00:00"/>
    <x v="0"/>
    <n v="5"/>
    <x v="2"/>
    <s v="No"/>
    <x v="1"/>
    <x v="1"/>
    <n v="0"/>
    <n v="0"/>
    <n v="5"/>
  </r>
  <r>
    <n v="3419"/>
    <s v="André Lopes"/>
    <x v="0"/>
    <d v="2024-09-01T00:00:00"/>
    <x v="1"/>
    <n v="15"/>
    <x v="0"/>
    <s v="Yes"/>
    <x v="0"/>
    <x v="0"/>
    <n v="20"/>
    <n v="3"/>
    <n v="62"/>
  </r>
  <r>
    <n v="3420"/>
    <s v="Beatriz Souza"/>
    <x v="2"/>
    <d v="2024-09-02T00:00:00"/>
    <x v="0"/>
    <n v="10"/>
    <x v="1"/>
    <s v="No"/>
    <x v="1"/>
    <x v="0"/>
    <n v="20"/>
    <n v="15"/>
    <n v="15"/>
  </r>
  <r>
    <n v="3421"/>
    <s v="Caio Pereira"/>
    <x v="1"/>
    <d v="2024-09-03T00:00:00"/>
    <x v="1"/>
    <n v="5"/>
    <x v="0"/>
    <s v="No"/>
    <x v="1"/>
    <x v="1"/>
    <n v="0"/>
    <n v="1"/>
    <n v="4"/>
  </r>
  <r>
    <n v="3422"/>
    <s v="Daniela Araújo"/>
    <x v="0"/>
    <d v="2024-09-04T00:00:00"/>
    <x v="0"/>
    <n v="15"/>
    <x v="2"/>
    <s v="Yes"/>
    <x v="0"/>
    <x v="0"/>
    <n v="20"/>
    <n v="7"/>
    <n v="58"/>
  </r>
  <r>
    <n v="3423"/>
    <s v="Eduardo Santos"/>
    <x v="2"/>
    <d v="2024-09-05T00:00:00"/>
    <x v="1"/>
    <n v="10"/>
    <x v="0"/>
    <s v="No"/>
    <x v="1"/>
    <x v="0"/>
    <n v="20"/>
    <n v="10"/>
    <n v="20"/>
  </r>
  <r>
    <n v="3424"/>
    <s v="Fernanda Lima"/>
    <x v="1"/>
    <d v="2024-09-06T00:00:00"/>
    <x v="0"/>
    <n v="5"/>
    <x v="1"/>
    <s v="No"/>
    <x v="1"/>
    <x v="1"/>
    <n v="0"/>
    <n v="0"/>
    <n v="5"/>
  </r>
  <r>
    <n v="3425"/>
    <s v="Gabriel Teixeira"/>
    <x v="0"/>
    <d v="2024-09-07T00:00:00"/>
    <x v="1"/>
    <n v="15"/>
    <x v="0"/>
    <s v="Yes"/>
    <x v="0"/>
    <x v="0"/>
    <n v="20"/>
    <n v="20"/>
    <n v="45"/>
  </r>
  <r>
    <n v="3426"/>
    <s v="Helena Ribeiro"/>
    <x v="2"/>
    <d v="2024-09-08T00:00:00"/>
    <x v="0"/>
    <n v="10"/>
    <x v="2"/>
    <s v="No"/>
    <x v="1"/>
    <x v="0"/>
    <n v="20"/>
    <n v="15"/>
    <n v="15"/>
  </r>
  <r>
    <n v="3427"/>
    <s v="Igor Mendes"/>
    <x v="1"/>
    <d v="2024-09-09T00:00:00"/>
    <x v="1"/>
    <n v="5"/>
    <x v="0"/>
    <s v="No"/>
    <x v="1"/>
    <x v="1"/>
    <n v="0"/>
    <n v="1"/>
    <n v="4"/>
  </r>
  <r>
    <n v="3428"/>
    <s v="Joana Silveira"/>
    <x v="0"/>
    <d v="2024-09-10T00:00:00"/>
    <x v="0"/>
    <n v="15"/>
    <x v="1"/>
    <s v="Yes"/>
    <x v="0"/>
    <x v="0"/>
    <n v="20"/>
    <n v="3"/>
    <n v="62"/>
  </r>
  <r>
    <n v="3429"/>
    <s v="Lucas Martins"/>
    <x v="2"/>
    <d v="2024-09-11T00:00:00"/>
    <x v="1"/>
    <n v="10"/>
    <x v="0"/>
    <s v="No"/>
    <x v="1"/>
    <x v="0"/>
    <n v="20"/>
    <n v="10"/>
    <n v="20"/>
  </r>
  <r>
    <n v="3430"/>
    <s v="Marcela Gouveia"/>
    <x v="1"/>
    <d v="2024-09-12T00:00:00"/>
    <x v="0"/>
    <n v="5"/>
    <x v="2"/>
    <s v="No"/>
    <x v="1"/>
    <x v="1"/>
    <n v="0"/>
    <n v="0"/>
    <n v="5"/>
  </r>
  <r>
    <n v="3431"/>
    <s v="Nicolas Borges"/>
    <x v="0"/>
    <d v="2024-09-13T00:00:00"/>
    <x v="1"/>
    <n v="15"/>
    <x v="0"/>
    <s v="Yes"/>
    <x v="0"/>
    <x v="0"/>
    <n v="20"/>
    <n v="15"/>
    <n v="50"/>
  </r>
  <r>
    <n v="3432"/>
    <s v="Olivia Freitas"/>
    <x v="2"/>
    <d v="2024-09-14T00:00:00"/>
    <x v="0"/>
    <n v="10"/>
    <x v="1"/>
    <s v="No"/>
    <x v="1"/>
    <x v="0"/>
    <n v="20"/>
    <n v="15"/>
    <n v="15"/>
  </r>
  <r>
    <n v="3433"/>
    <s v="Paulo Nogueira"/>
    <x v="1"/>
    <d v="2024-09-15T00:00:00"/>
    <x v="1"/>
    <n v="5"/>
    <x v="0"/>
    <s v="No"/>
    <x v="1"/>
    <x v="1"/>
    <n v="0"/>
    <n v="1"/>
    <n v="4"/>
  </r>
  <r>
    <n v="3434"/>
    <s v="Raquel Andrade"/>
    <x v="0"/>
    <d v="2024-09-16T00:00:00"/>
    <x v="0"/>
    <n v="15"/>
    <x v="2"/>
    <s v="Yes"/>
    <x v="0"/>
    <x v="0"/>
    <n v="20"/>
    <n v="7"/>
    <n v="58"/>
  </r>
  <r>
    <n v="3435"/>
    <s v="Sônia Carvalho"/>
    <x v="2"/>
    <d v="2024-09-17T00:00:00"/>
    <x v="1"/>
    <n v="10"/>
    <x v="0"/>
    <s v="No"/>
    <x v="1"/>
    <x v="0"/>
    <n v="20"/>
    <n v="10"/>
    <n v="20"/>
  </r>
  <r>
    <n v="3436"/>
    <s v="Tiago Rodrigues"/>
    <x v="1"/>
    <d v="2024-09-18T00:00:00"/>
    <x v="0"/>
    <n v="5"/>
    <x v="0"/>
    <s v="No"/>
    <x v="1"/>
    <x v="1"/>
    <n v="0"/>
    <n v="0"/>
    <n v="5"/>
  </r>
  <r>
    <n v="3437"/>
    <s v="Ursula Monteiro"/>
    <x v="0"/>
    <d v="2024-09-19T00:00:00"/>
    <x v="1"/>
    <n v="15"/>
    <x v="2"/>
    <s v="Yes"/>
    <x v="0"/>
    <x v="0"/>
    <n v="20"/>
    <n v="7"/>
    <n v="58"/>
  </r>
  <r>
    <n v="3438"/>
    <s v="Vanessa Pereira"/>
    <x v="2"/>
    <d v="2024-09-20T00:00:00"/>
    <x v="0"/>
    <n v="10"/>
    <x v="1"/>
    <s v="No"/>
    <x v="1"/>
    <x v="0"/>
    <n v="20"/>
    <n v="10"/>
    <n v="20"/>
  </r>
  <r>
    <n v="3439"/>
    <s v="Walter Silva"/>
    <x v="1"/>
    <d v="2024-09-21T00:00:00"/>
    <x v="1"/>
    <n v="5"/>
    <x v="2"/>
    <s v="No"/>
    <x v="1"/>
    <x v="1"/>
    <n v="0"/>
    <n v="1"/>
    <n v="4"/>
  </r>
  <r>
    <n v="3440"/>
    <s v="Xavier Almeida"/>
    <x v="0"/>
    <d v="2024-09-22T00:00:00"/>
    <x v="0"/>
    <n v="15"/>
    <x v="0"/>
    <s v="Yes"/>
    <x v="0"/>
    <x v="0"/>
    <n v="20"/>
    <n v="15"/>
    <n v="50"/>
  </r>
  <r>
    <n v="3441"/>
    <s v="Yasmine Correia"/>
    <x v="2"/>
    <d v="2024-09-23T00:00:00"/>
    <x v="1"/>
    <n v="10"/>
    <x v="0"/>
    <s v="No"/>
    <x v="1"/>
    <x v="0"/>
    <n v="20"/>
    <n v="5"/>
    <n v="25"/>
  </r>
  <r>
    <n v="3442"/>
    <s v="Zacarias Almeida"/>
    <x v="1"/>
    <d v="2024-09-24T00:00:00"/>
    <x v="0"/>
    <n v="5"/>
    <x v="1"/>
    <s v="No"/>
    <x v="1"/>
    <x v="1"/>
    <n v="0"/>
    <n v="0"/>
    <n v="5"/>
  </r>
  <r>
    <n v="3443"/>
    <s v="Amanda Costa"/>
    <x v="0"/>
    <d v="2024-09-25T00:00:00"/>
    <x v="1"/>
    <n v="15"/>
    <x v="2"/>
    <s v="Yes"/>
    <x v="0"/>
    <x v="0"/>
    <n v="20"/>
    <n v="20"/>
    <n v="45"/>
  </r>
  <r>
    <n v="3444"/>
    <s v="Bruno Ferreira"/>
    <x v="2"/>
    <d v="2024-09-26T00:00:00"/>
    <x v="0"/>
    <n v="10"/>
    <x v="2"/>
    <s v="No"/>
    <x v="1"/>
    <x v="0"/>
    <n v="20"/>
    <n v="12"/>
    <n v="18"/>
  </r>
  <r>
    <n v="3445"/>
    <s v="Carla Dias"/>
    <x v="1"/>
    <d v="2024-09-27T00:00:00"/>
    <x v="1"/>
    <n v="5"/>
    <x v="0"/>
    <s v="No"/>
    <x v="1"/>
    <x v="1"/>
    <n v="0"/>
    <n v="2"/>
    <n v="3"/>
  </r>
  <r>
    <n v="3446"/>
    <s v="Diogo Martins"/>
    <x v="0"/>
    <d v="2024-09-28T00:00:00"/>
    <x v="0"/>
    <n v="15"/>
    <x v="1"/>
    <s v="Yes"/>
    <x v="0"/>
    <x v="0"/>
    <n v="20"/>
    <n v="5"/>
    <n v="60"/>
  </r>
  <r>
    <n v="3447"/>
    <s v="Elisa Campos"/>
    <x v="2"/>
    <d v="2024-09-29T00:00:00"/>
    <x v="1"/>
    <n v="10"/>
    <x v="0"/>
    <s v="No"/>
    <x v="1"/>
    <x v="0"/>
    <n v="20"/>
    <n v="10"/>
    <n v="20"/>
  </r>
  <r>
    <n v="3448"/>
    <s v="Fabiana Lima"/>
    <x v="1"/>
    <d v="2024-09-30T00:00:00"/>
    <x v="0"/>
    <n v="5"/>
    <x v="2"/>
    <s v="No"/>
    <x v="1"/>
    <x v="1"/>
    <n v="0"/>
    <n v="0"/>
    <n v="5"/>
  </r>
  <r>
    <n v="3449"/>
    <s v="Gabriel Santos"/>
    <x v="0"/>
    <d v="2024-10-01T00:00:00"/>
    <x v="1"/>
    <n v="15"/>
    <x v="0"/>
    <s v="Yes"/>
    <x v="0"/>
    <x v="0"/>
    <n v="20"/>
    <n v="3"/>
    <n v="62"/>
  </r>
  <r>
    <n v="3450"/>
    <s v="Helena Ferreira"/>
    <x v="2"/>
    <d v="2024-10-02T00:00:00"/>
    <x v="0"/>
    <n v="10"/>
    <x v="1"/>
    <s v="No"/>
    <x v="1"/>
    <x v="0"/>
    <n v="20"/>
    <n v="15"/>
    <n v="15"/>
  </r>
  <r>
    <n v="3451"/>
    <s v="Ígor Nunes"/>
    <x v="1"/>
    <d v="2024-10-03T00:00:00"/>
    <x v="1"/>
    <n v="5"/>
    <x v="0"/>
    <s v="No"/>
    <x v="1"/>
    <x v="1"/>
    <n v="0"/>
    <n v="1"/>
    <n v="4"/>
  </r>
  <r>
    <n v="3452"/>
    <s v="Joana Silveira"/>
    <x v="0"/>
    <d v="2024-10-04T00:00:00"/>
    <x v="0"/>
    <n v="15"/>
    <x v="2"/>
    <s v="Yes"/>
    <x v="0"/>
    <x v="0"/>
    <n v="20"/>
    <n v="7"/>
    <n v="58"/>
  </r>
  <r>
    <n v="3453"/>
    <s v="Kléber Oliveira"/>
    <x v="2"/>
    <d v="2024-10-05T00:00:00"/>
    <x v="1"/>
    <n v="10"/>
    <x v="0"/>
    <s v="No"/>
    <x v="1"/>
    <x v="0"/>
    <n v="20"/>
    <n v="10"/>
    <n v="20"/>
  </r>
  <r>
    <n v="3454"/>
    <s v="Luciana Morais"/>
    <x v="1"/>
    <d v="2024-10-06T00:00:00"/>
    <x v="0"/>
    <n v="5"/>
    <x v="1"/>
    <s v="No"/>
    <x v="1"/>
    <x v="1"/>
    <n v="0"/>
    <n v="0"/>
    <n v="5"/>
  </r>
  <r>
    <n v="3455"/>
    <s v="Marcos Vinícius"/>
    <x v="0"/>
    <d v="2024-10-07T00:00:00"/>
    <x v="1"/>
    <n v="15"/>
    <x v="0"/>
    <s v="Yes"/>
    <x v="0"/>
    <x v="0"/>
    <n v="20"/>
    <n v="20"/>
    <n v="45"/>
  </r>
  <r>
    <n v="3456"/>
    <s v="Natália Barros"/>
    <x v="2"/>
    <d v="2024-10-08T00:00:00"/>
    <x v="0"/>
    <n v="10"/>
    <x v="2"/>
    <s v="No"/>
    <x v="1"/>
    <x v="0"/>
    <n v="20"/>
    <n v="15"/>
    <n v="15"/>
  </r>
  <r>
    <n v="3457"/>
    <s v="Oscar Sampaio"/>
    <x v="1"/>
    <d v="2024-10-09T00:00:00"/>
    <x v="1"/>
    <n v="5"/>
    <x v="0"/>
    <s v="No"/>
    <x v="1"/>
    <x v="1"/>
    <n v="0"/>
    <n v="1"/>
    <n v="4"/>
  </r>
  <r>
    <n v="3458"/>
    <s v="Patrícia Leite"/>
    <x v="0"/>
    <d v="2024-10-10T00:00:00"/>
    <x v="0"/>
    <n v="15"/>
    <x v="1"/>
    <s v="Yes"/>
    <x v="0"/>
    <x v="0"/>
    <n v="20"/>
    <n v="3"/>
    <n v="62"/>
  </r>
  <r>
    <n v="3459"/>
    <s v="Quênia Rocha"/>
    <x v="2"/>
    <d v="2024-10-11T00:00:00"/>
    <x v="1"/>
    <n v="10"/>
    <x v="0"/>
    <s v="No"/>
    <x v="1"/>
    <x v="0"/>
    <n v="20"/>
    <n v="10"/>
    <n v="20"/>
  </r>
  <r>
    <n v="3460"/>
    <s v="Rafael Torres"/>
    <x v="1"/>
    <d v="2024-10-12T00:00:00"/>
    <x v="0"/>
    <n v="5"/>
    <x v="2"/>
    <s v="No"/>
    <x v="1"/>
    <x v="1"/>
    <n v="0"/>
    <n v="0"/>
    <n v="5"/>
  </r>
  <r>
    <n v="3461"/>
    <s v="Sandra Gouveia"/>
    <x v="0"/>
    <d v="2024-10-13T00:00:00"/>
    <x v="1"/>
    <n v="15"/>
    <x v="0"/>
    <s v="Yes"/>
    <x v="0"/>
    <x v="0"/>
    <n v="20"/>
    <n v="15"/>
    <n v="50"/>
  </r>
  <r>
    <n v="3462"/>
    <s v="Tiago Lacerda"/>
    <x v="2"/>
    <d v="2024-10-14T00:00:00"/>
    <x v="0"/>
    <n v="10"/>
    <x v="1"/>
    <s v="No"/>
    <x v="1"/>
    <x v="0"/>
    <n v="20"/>
    <n v="15"/>
    <n v="15"/>
  </r>
  <r>
    <n v="3463"/>
    <s v="Ursula Fonseca"/>
    <x v="1"/>
    <d v="2024-10-15T00:00:00"/>
    <x v="1"/>
    <n v="5"/>
    <x v="0"/>
    <s v="No"/>
    <x v="1"/>
    <x v="1"/>
    <n v="0"/>
    <n v="1"/>
    <n v="4"/>
  </r>
  <r>
    <n v="3464"/>
    <s v="Vanessa Andrade"/>
    <x v="0"/>
    <d v="2024-10-16T00:00:00"/>
    <x v="0"/>
    <n v="15"/>
    <x v="2"/>
    <s v="Yes"/>
    <x v="0"/>
    <x v="0"/>
    <n v="20"/>
    <n v="7"/>
    <n v="58"/>
  </r>
  <r>
    <n v="3465"/>
    <s v="William Castro"/>
    <x v="2"/>
    <d v="2024-10-17T00:00:00"/>
    <x v="1"/>
    <n v="10"/>
    <x v="0"/>
    <s v="No"/>
    <x v="1"/>
    <x v="0"/>
    <n v="20"/>
    <n v="10"/>
    <n v="20"/>
  </r>
  <r>
    <n v="3466"/>
    <s v="Xavier Monteiro"/>
    <x v="1"/>
    <d v="2024-10-18T00:00:00"/>
    <x v="0"/>
    <n v="5"/>
    <x v="1"/>
    <s v="No"/>
    <x v="1"/>
    <x v="1"/>
    <n v="0"/>
    <n v="0"/>
    <n v="5"/>
  </r>
  <r>
    <n v="3467"/>
    <s v="Yasmin Figueira"/>
    <x v="0"/>
    <d v="2024-10-19T00:00:00"/>
    <x v="1"/>
    <n v="15"/>
    <x v="0"/>
    <s v="Yes"/>
    <x v="0"/>
    <x v="0"/>
    <n v="20"/>
    <n v="15"/>
    <n v="50"/>
  </r>
  <r>
    <n v="3468"/>
    <s v="Zacarias Mendonça"/>
    <x v="2"/>
    <d v="2024-10-20T00:00:00"/>
    <x v="0"/>
    <n v="10"/>
    <x v="2"/>
    <s v="No"/>
    <x v="1"/>
    <x v="0"/>
    <n v="20"/>
    <n v="12"/>
    <n v="18"/>
  </r>
  <r>
    <n v="3469"/>
    <s v="Amanda Menezes"/>
    <x v="1"/>
    <d v="2024-10-21T00:00:00"/>
    <x v="1"/>
    <n v="5"/>
    <x v="0"/>
    <s v="No"/>
    <x v="1"/>
    <x v="1"/>
    <n v="0"/>
    <n v="2"/>
    <n v="3"/>
  </r>
  <r>
    <n v="3470"/>
    <s v="Bruno Santos"/>
    <x v="0"/>
    <d v="2024-10-22T00:00:00"/>
    <x v="0"/>
    <n v="15"/>
    <x v="1"/>
    <s v="Yes"/>
    <x v="0"/>
    <x v="0"/>
    <n v="20"/>
    <n v="5"/>
    <n v="60"/>
  </r>
  <r>
    <n v="3471"/>
    <s v="Carla Ferreira"/>
    <x v="2"/>
    <d v="2024-10-23T00:00:00"/>
    <x v="1"/>
    <n v="10"/>
    <x v="0"/>
    <s v="No"/>
    <x v="1"/>
    <x v="0"/>
    <n v="20"/>
    <n v="10"/>
    <n v="20"/>
  </r>
  <r>
    <n v="3472"/>
    <s v="Diogo Alves"/>
    <x v="1"/>
    <d v="2024-10-24T00:00:00"/>
    <x v="0"/>
    <n v="5"/>
    <x v="2"/>
    <s v="No"/>
    <x v="1"/>
    <x v="1"/>
    <n v="0"/>
    <n v="0"/>
    <n v="5"/>
  </r>
  <r>
    <n v="3473"/>
    <s v="Elisa Neves"/>
    <x v="0"/>
    <d v="2024-10-25T00:00:00"/>
    <x v="1"/>
    <n v="15"/>
    <x v="0"/>
    <s v="Yes"/>
    <x v="0"/>
    <x v="0"/>
    <n v="20"/>
    <n v="3"/>
    <n v="62"/>
  </r>
  <r>
    <n v="3474"/>
    <s v="Fabiano Pires"/>
    <x v="2"/>
    <d v="2024-10-26T00:00:00"/>
    <x v="0"/>
    <n v="10"/>
    <x v="1"/>
    <s v="No"/>
    <x v="1"/>
    <x v="0"/>
    <n v="20"/>
    <n v="15"/>
    <n v="15"/>
  </r>
  <r>
    <n v="3475"/>
    <s v="Giovana Ribeiro"/>
    <x v="1"/>
    <d v="2024-10-27T00:00:00"/>
    <x v="1"/>
    <n v="5"/>
    <x v="0"/>
    <s v="No"/>
    <x v="1"/>
    <x v="1"/>
    <n v="0"/>
    <n v="1"/>
    <n v="4"/>
  </r>
  <r>
    <n v="3476"/>
    <s v="Hélio Costa"/>
    <x v="0"/>
    <d v="2024-10-28T00:00:00"/>
    <x v="0"/>
    <n v="15"/>
    <x v="2"/>
    <s v="Yes"/>
    <x v="0"/>
    <x v="0"/>
    <n v="20"/>
    <n v="7"/>
    <n v="58"/>
  </r>
  <r>
    <n v="3477"/>
    <s v="Íris Loureiro"/>
    <x v="2"/>
    <d v="2024-10-29T00:00:00"/>
    <x v="1"/>
    <n v="10"/>
    <x v="0"/>
    <s v="No"/>
    <x v="1"/>
    <x v="0"/>
    <n v="20"/>
    <n v="10"/>
    <n v="20"/>
  </r>
  <r>
    <n v="3478"/>
    <s v="João Pereira"/>
    <x v="1"/>
    <d v="2024-10-30T00:00:00"/>
    <x v="0"/>
    <n v="5"/>
    <x v="1"/>
    <s v="No"/>
    <x v="1"/>
    <x v="1"/>
    <n v="0"/>
    <n v="0"/>
    <n v="5"/>
  </r>
  <r>
    <n v="3479"/>
    <s v="Klara Silva"/>
    <x v="0"/>
    <d v="2024-10-31T00:00:00"/>
    <x v="1"/>
    <n v="15"/>
    <x v="0"/>
    <s v="Yes"/>
    <x v="0"/>
    <x v="0"/>
    <n v="20"/>
    <n v="20"/>
    <n v="45"/>
  </r>
  <r>
    <n v="3480"/>
    <s v="Luciana Barros"/>
    <x v="2"/>
    <d v="2024-11-01T00:00:00"/>
    <x v="0"/>
    <n v="10"/>
    <x v="2"/>
    <s v="No"/>
    <x v="1"/>
    <x v="0"/>
    <n v="20"/>
    <n v="15"/>
    <n v="15"/>
  </r>
  <r>
    <n v="3481"/>
    <s v="Marcos Gomes"/>
    <x v="1"/>
    <d v="2024-11-02T00:00:00"/>
    <x v="1"/>
    <n v="5"/>
    <x v="0"/>
    <s v="No"/>
    <x v="1"/>
    <x v="1"/>
    <n v="0"/>
    <n v="1"/>
    <n v="4"/>
  </r>
  <r>
    <n v="3482"/>
    <s v="Natália Soares"/>
    <x v="0"/>
    <d v="2024-11-03T00:00:00"/>
    <x v="0"/>
    <n v="15"/>
    <x v="1"/>
    <s v="Yes"/>
    <x v="0"/>
    <x v="0"/>
    <n v="20"/>
    <n v="3"/>
    <n v="62"/>
  </r>
  <r>
    <n v="3483"/>
    <s v="Oscar Machado"/>
    <x v="2"/>
    <d v="2024-11-04T00:00:00"/>
    <x v="1"/>
    <n v="10"/>
    <x v="0"/>
    <s v="No"/>
    <x v="1"/>
    <x v="0"/>
    <n v="20"/>
    <n v="10"/>
    <n v="20"/>
  </r>
  <r>
    <n v="3484"/>
    <s v="Patrícia Lima"/>
    <x v="1"/>
    <d v="2024-11-05T00:00:00"/>
    <x v="0"/>
    <n v="5"/>
    <x v="2"/>
    <s v="No"/>
    <x v="1"/>
    <x v="1"/>
    <n v="0"/>
    <n v="0"/>
    <n v="5"/>
  </r>
  <r>
    <n v="3485"/>
    <s v="Quirino Neto"/>
    <x v="0"/>
    <d v="2024-11-06T00:00:00"/>
    <x v="1"/>
    <n v="15"/>
    <x v="0"/>
    <s v="Yes"/>
    <x v="0"/>
    <x v="0"/>
    <n v="20"/>
    <n v="15"/>
    <n v="50"/>
  </r>
  <r>
    <n v="3486"/>
    <s v="Rafaela Souza"/>
    <x v="1"/>
    <d v="2024-11-07T00:00:00"/>
    <x v="0"/>
    <n v="5"/>
    <x v="0"/>
    <s v="No"/>
    <x v="1"/>
    <x v="1"/>
    <n v="0"/>
    <n v="0"/>
    <n v="5"/>
  </r>
  <r>
    <n v="3487"/>
    <s v="Sandro Almeida"/>
    <x v="0"/>
    <d v="2024-11-08T00:00:00"/>
    <x v="1"/>
    <n v="15"/>
    <x v="2"/>
    <s v="Yes"/>
    <x v="0"/>
    <x v="0"/>
    <n v="20"/>
    <n v="7"/>
    <n v="58"/>
  </r>
  <r>
    <n v="3488"/>
    <s v="Tânia Ribeiro"/>
    <x v="2"/>
    <d v="2024-11-09T00:00:00"/>
    <x v="0"/>
    <n v="10"/>
    <x v="1"/>
    <s v="No"/>
    <x v="1"/>
    <x v="0"/>
    <n v="20"/>
    <n v="10"/>
    <n v="20"/>
  </r>
  <r>
    <n v="3489"/>
    <s v="Ugo Dias"/>
    <x v="1"/>
    <d v="2024-11-10T00:00:00"/>
    <x v="1"/>
    <n v="5"/>
    <x v="2"/>
    <s v="No"/>
    <x v="1"/>
    <x v="1"/>
    <n v="0"/>
    <n v="1"/>
    <n v="4"/>
  </r>
  <r>
    <n v="3490"/>
    <s v="Valéria Lima"/>
    <x v="0"/>
    <d v="2024-11-11T00:00:00"/>
    <x v="0"/>
    <n v="15"/>
    <x v="0"/>
    <s v="Yes"/>
    <x v="0"/>
    <x v="0"/>
    <n v="20"/>
    <n v="15"/>
    <n v="50"/>
  </r>
  <r>
    <n v="3491"/>
    <s v="William Fernandes"/>
    <x v="2"/>
    <d v="2024-11-12T00:00:00"/>
    <x v="1"/>
    <n v="10"/>
    <x v="0"/>
    <s v="No"/>
    <x v="1"/>
    <x v="0"/>
    <n v="20"/>
    <n v="5"/>
    <n v="25"/>
  </r>
  <r>
    <n v="3492"/>
    <s v="Xuxa Mendes"/>
    <x v="1"/>
    <d v="2024-11-13T00:00:00"/>
    <x v="0"/>
    <n v="5"/>
    <x v="1"/>
    <s v="No"/>
    <x v="1"/>
    <x v="1"/>
    <n v="0"/>
    <n v="0"/>
    <n v="5"/>
  </r>
  <r>
    <n v="3493"/>
    <s v="Ygor Farias"/>
    <x v="0"/>
    <d v="2024-11-14T00:00:00"/>
    <x v="1"/>
    <n v="15"/>
    <x v="2"/>
    <s v="Yes"/>
    <x v="0"/>
    <x v="0"/>
    <n v="20"/>
    <n v="20"/>
    <n v="45"/>
  </r>
  <r>
    <n v="3494"/>
    <s v="Zilda Barros"/>
    <x v="2"/>
    <d v="2024-11-15T00:00:00"/>
    <x v="0"/>
    <n v="10"/>
    <x v="2"/>
    <s v="No"/>
    <x v="1"/>
    <x v="0"/>
    <n v="20"/>
    <n v="12"/>
    <n v="18"/>
  </r>
  <r>
    <n v="3495"/>
    <s v="Amanda Santos"/>
    <x v="1"/>
    <d v="2024-11-16T00:00:00"/>
    <x v="1"/>
    <n v="5"/>
    <x v="0"/>
    <s v="No"/>
    <x v="1"/>
    <x v="1"/>
    <n v="0"/>
    <n v="2"/>
    <n v="3"/>
  </r>
  <r>
    <n v="3496"/>
    <s v="Bruno Costa"/>
    <x v="0"/>
    <d v="2024-11-17T00:00:00"/>
    <x v="0"/>
    <n v="15"/>
    <x v="1"/>
    <s v="Yes"/>
    <x v="0"/>
    <x v="0"/>
    <n v="20"/>
    <n v="5"/>
    <n v="60"/>
  </r>
  <r>
    <n v="3497"/>
    <s v="Carla Rodrigues"/>
    <x v="2"/>
    <d v="2024-11-18T00:00:00"/>
    <x v="1"/>
    <n v="10"/>
    <x v="0"/>
    <s v="No"/>
    <x v="1"/>
    <x v="0"/>
    <n v="20"/>
    <n v="10"/>
    <n v="20"/>
  </r>
  <r>
    <n v="3498"/>
    <s v="Diogo Pereira"/>
    <x v="1"/>
    <d v="2024-11-19T00:00:00"/>
    <x v="0"/>
    <n v="5"/>
    <x v="2"/>
    <s v="No"/>
    <x v="1"/>
    <x v="1"/>
    <n v="0"/>
    <n v="0"/>
    <n v="5"/>
  </r>
  <r>
    <n v="3499"/>
    <s v="Elisa Correia"/>
    <x v="0"/>
    <d v="2024-11-20T00:00:00"/>
    <x v="1"/>
    <n v="15"/>
    <x v="0"/>
    <s v="Yes"/>
    <x v="0"/>
    <x v="0"/>
    <n v="20"/>
    <n v="3"/>
    <n v="62"/>
  </r>
  <r>
    <n v="3500"/>
    <s v="Fábio Lourenço"/>
    <x v="2"/>
    <d v="2024-11-21T00:00:00"/>
    <x v="0"/>
    <n v="10"/>
    <x v="1"/>
    <s v="No"/>
    <x v="1"/>
    <x v="0"/>
    <n v="20"/>
    <n v="15"/>
    <n v="15"/>
  </r>
  <r>
    <n v="3501"/>
    <s v="Gabriela Neves"/>
    <x v="1"/>
    <d v="2024-11-22T00:00:00"/>
    <x v="1"/>
    <n v="5"/>
    <x v="0"/>
    <s v="No"/>
    <x v="1"/>
    <x v="1"/>
    <n v="0"/>
    <n v="1"/>
    <n v="4"/>
  </r>
  <r>
    <n v="3502"/>
    <s v="Henrique Gonçalves"/>
    <x v="0"/>
    <d v="2024-11-23T00:00:00"/>
    <x v="0"/>
    <n v="15"/>
    <x v="2"/>
    <s v="Yes"/>
    <x v="0"/>
    <x v="0"/>
    <n v="20"/>
    <n v="7"/>
    <n v="58"/>
  </r>
  <r>
    <n v="3503"/>
    <s v="Íris Santos"/>
    <x v="2"/>
    <d v="2024-11-24T00:00:00"/>
    <x v="1"/>
    <n v="10"/>
    <x v="0"/>
    <s v="No"/>
    <x v="1"/>
    <x v="0"/>
    <n v="20"/>
    <n v="10"/>
    <n v="20"/>
  </r>
  <r>
    <n v="3504"/>
    <s v="João Marcelo Alves"/>
    <x v="1"/>
    <d v="2024-11-25T00:00:00"/>
    <x v="0"/>
    <n v="5"/>
    <x v="1"/>
    <s v="No"/>
    <x v="1"/>
    <x v="1"/>
    <n v="0"/>
    <n v="0"/>
    <n v="5"/>
  </r>
  <r>
    <n v="3505"/>
    <s v="Klara Fonseca"/>
    <x v="0"/>
    <d v="2024-11-26T00:00:00"/>
    <x v="1"/>
    <n v="15"/>
    <x v="0"/>
    <s v="Yes"/>
    <x v="0"/>
    <x v="0"/>
    <n v="20"/>
    <n v="20"/>
    <n v="45"/>
  </r>
  <r>
    <n v="3506"/>
    <s v="Lucas Mendonça"/>
    <x v="2"/>
    <d v="2024-11-27T00:00:00"/>
    <x v="0"/>
    <n v="10"/>
    <x v="2"/>
    <s v="No"/>
    <x v="1"/>
    <x v="0"/>
    <n v="20"/>
    <n v="15"/>
    <n v="15"/>
  </r>
  <r>
    <n v="3507"/>
    <s v="Marcela Torres"/>
    <x v="1"/>
    <d v="2024-11-28T00:00:00"/>
    <x v="1"/>
    <n v="5"/>
    <x v="0"/>
    <s v="No"/>
    <x v="1"/>
    <x v="1"/>
    <n v="0"/>
    <n v="1"/>
    <n v="4"/>
  </r>
  <r>
    <n v="3508"/>
    <s v="Natália Castro"/>
    <x v="0"/>
    <d v="2024-11-29T00:00:00"/>
    <x v="0"/>
    <n v="15"/>
    <x v="1"/>
    <s v="Yes"/>
    <x v="0"/>
    <x v="0"/>
    <n v="20"/>
    <n v="3"/>
    <n v="62"/>
  </r>
  <r>
    <n v="3509"/>
    <s v="Oscar Martins"/>
    <x v="2"/>
    <d v="2024-11-30T00:00:00"/>
    <x v="1"/>
    <n v="10"/>
    <x v="0"/>
    <s v="No"/>
    <x v="1"/>
    <x v="0"/>
    <n v="20"/>
    <n v="10"/>
    <n v="20"/>
  </r>
  <r>
    <n v="3510"/>
    <s v="Patrícia Oliveira"/>
    <x v="1"/>
    <d v="2024-12-01T00:00:00"/>
    <x v="0"/>
    <n v="5"/>
    <x v="2"/>
    <s v="No"/>
    <x v="1"/>
    <x v="1"/>
    <n v="0"/>
    <n v="0"/>
    <n v="5"/>
  </r>
  <r>
    <n v="3511"/>
    <s v="Quentin Nogueira"/>
    <x v="0"/>
    <d v="2024-12-02T00:00:00"/>
    <x v="1"/>
    <n v="15"/>
    <x v="0"/>
    <s v="Yes"/>
    <x v="0"/>
    <x v="0"/>
    <n v="20"/>
    <n v="15"/>
    <n v="50"/>
  </r>
  <r>
    <n v="3512"/>
    <s v="Raquel Silva"/>
    <x v="2"/>
    <d v="2024-12-03T00:00:00"/>
    <x v="0"/>
    <n v="10"/>
    <x v="1"/>
    <s v="No"/>
    <x v="1"/>
    <x v="0"/>
    <n v="20"/>
    <n v="15"/>
    <n v="15"/>
  </r>
  <r>
    <n v="3513"/>
    <s v="Sandro Gomes"/>
    <x v="1"/>
    <d v="2024-12-04T00:00:00"/>
    <x v="1"/>
    <n v="5"/>
    <x v="0"/>
    <s v="No"/>
    <x v="1"/>
    <x v="1"/>
    <n v="0"/>
    <n v="1"/>
    <n v="4"/>
  </r>
  <r>
    <n v="3514"/>
    <s v="Tânia Machado"/>
    <x v="0"/>
    <d v="2024-12-05T00:00:00"/>
    <x v="0"/>
    <n v="15"/>
    <x v="2"/>
    <s v="Yes"/>
    <x v="0"/>
    <x v="0"/>
    <n v="20"/>
    <n v="7"/>
    <n v="58"/>
  </r>
  <r>
    <n v="3515"/>
    <s v="Ursula Silva"/>
    <x v="2"/>
    <d v="2024-12-06T00:00:00"/>
    <x v="1"/>
    <n v="10"/>
    <x v="0"/>
    <s v="No"/>
    <x v="1"/>
    <x v="0"/>
    <n v="20"/>
    <n v="10"/>
    <n v="20"/>
  </r>
  <r>
    <n v="3516"/>
    <s v="Vanessa Moraes"/>
    <x v="1"/>
    <d v="2024-12-07T00:00:00"/>
    <x v="0"/>
    <n v="5"/>
    <x v="1"/>
    <s v="No"/>
    <x v="1"/>
    <x v="1"/>
    <n v="0"/>
    <n v="0"/>
    <n v="5"/>
  </r>
  <r>
    <n v="3517"/>
    <s v="William Carvalho"/>
    <x v="0"/>
    <d v="2024-12-08T00:00:00"/>
    <x v="1"/>
    <n v="15"/>
    <x v="0"/>
    <s v="Yes"/>
    <x v="0"/>
    <x v="0"/>
    <n v="20"/>
    <n v="20"/>
    <n v="45"/>
  </r>
  <r>
    <n v="3518"/>
    <s v="Xavier Reis"/>
    <x v="2"/>
    <d v="2024-12-09T00:00:00"/>
    <x v="0"/>
    <n v="10"/>
    <x v="2"/>
    <s v="No"/>
    <x v="1"/>
    <x v="0"/>
    <n v="20"/>
    <n v="12"/>
    <n v="18"/>
  </r>
  <r>
    <n v="3519"/>
    <s v="Yasmin Rocha"/>
    <x v="1"/>
    <d v="2024-12-10T00:00:00"/>
    <x v="1"/>
    <n v="5"/>
    <x v="0"/>
    <s v="No"/>
    <x v="1"/>
    <x v="1"/>
    <n v="0"/>
    <n v="2"/>
    <n v="3"/>
  </r>
  <r>
    <n v="3520"/>
    <s v="Zacarias Duarte"/>
    <x v="0"/>
    <d v="2024-12-11T00:00:00"/>
    <x v="0"/>
    <n v="15"/>
    <x v="1"/>
    <s v="Yes"/>
    <x v="0"/>
    <x v="0"/>
    <n v="20"/>
    <n v="5"/>
    <n v="60"/>
  </r>
  <r>
    <n v="3521"/>
    <s v="Amanda Freitas"/>
    <x v="2"/>
    <d v="2024-12-12T00:00:00"/>
    <x v="1"/>
    <n v="10"/>
    <x v="0"/>
    <s v="No"/>
    <x v="1"/>
    <x v="0"/>
    <n v="20"/>
    <n v="10"/>
    <n v="20"/>
  </r>
  <r>
    <n v="3522"/>
    <s v="Bruno Almeida"/>
    <x v="1"/>
    <d v="2024-12-13T00:00:00"/>
    <x v="0"/>
    <n v="5"/>
    <x v="2"/>
    <s v="No"/>
    <x v="1"/>
    <x v="1"/>
    <n v="0"/>
    <n v="0"/>
    <n v="5"/>
  </r>
  <r>
    <n v="3523"/>
    <s v="Carla Siqueira"/>
    <x v="0"/>
    <d v="2024-12-14T00:00:00"/>
    <x v="1"/>
    <n v="15"/>
    <x v="0"/>
    <s v="Yes"/>
    <x v="0"/>
    <x v="0"/>
    <n v="20"/>
    <n v="3"/>
    <n v="62"/>
  </r>
  <r>
    <n v="3524"/>
    <s v="Diogo Ramos"/>
    <x v="2"/>
    <d v="2024-12-15T00:00:00"/>
    <x v="0"/>
    <n v="10"/>
    <x v="1"/>
    <s v="No"/>
    <x v="1"/>
    <x v="0"/>
    <n v="20"/>
    <n v="15"/>
    <n v="15"/>
  </r>
  <r>
    <n v="3525"/>
    <s v="Elisa Magalhães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2">
    <format dxfId="85">
      <pivotArea grandRow="1" outline="0" collapsedLevelsAreSubtotals="1" fieldPosition="0"/>
    </format>
    <format dxfId="84">
      <pivotArea collapsedLevelsAreSubtotals="1" fieldPosition="0">
        <references count="1">
          <reference field="2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formats count="2">
    <format dxfId="87">
      <pivotArea collapsedLevelsAreSubtotals="1" fieldPosition="0">
        <references count="1">
          <reference field="4" count="0"/>
        </references>
      </pivotArea>
    </format>
    <format dxfId="86">
      <pivotArea grandRow="1" outline="0" collapsedLevelsAreSubtotals="1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5:C3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89">
      <pivotArea grandRow="1" outline="0" collapsedLevelsAreSubtotals="1" fieldPosition="0"/>
    </format>
    <format dxfId="88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abela dinâmica1"/>
    <pivotTable tabId="3" name="Tabela dinâmica4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id="1" name="Tabela1" displayName="Tabela1" ref="A1:M296" totalsRowShown="0" dataDxfId="103">
  <autoFilter ref="A1:M296">
    <filterColumn colId="7">
      <filters>
        <filter val="Yes"/>
      </filters>
    </filterColumn>
  </autoFilter>
  <tableColumns count="13">
    <tableColumn id="1" name="Subscriber ID" dataDxfId="102"/>
    <tableColumn id="2" name="Name" dataDxfId="101"/>
    <tableColumn id="3" name="Plan" dataDxfId="100"/>
    <tableColumn id="4" name="Start Date" dataDxfId="99"/>
    <tableColumn id="5" name="Auto Renewal" dataDxfId="98"/>
    <tableColumn id="6" name="Subscription Price" dataDxfId="97" dataCellStyle="Moeda"/>
    <tableColumn id="7" name="Subscription Type" dataDxfId="96"/>
    <tableColumn id="8" name="EA Play Season Pass" dataDxfId="95"/>
    <tableColumn id="13" name="EA Play Season Pass_x000a_Price" dataDxfId="94" dataCellStyle="Moeda"/>
    <tableColumn id="9" name="Minecraft Season Pass" dataDxfId="93"/>
    <tableColumn id="10" name="Minecraft Season Pass Price" dataDxfId="92" dataCellStyle="Moeda"/>
    <tableColumn id="11" name="Coupon Value" dataDxfId="91" dataCellStyle="Moeda"/>
    <tableColumn id="12" name="Total Value" dataDxfId="9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E39" sqref="E39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  <c r="D7" t="s">
        <v>317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D220" zoomScale="90" zoomScaleNormal="90" workbookViewId="0">
      <selection activeCell="E39" sqref="E39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E39"/>
  <sheetViews>
    <sheetView showGridLines="0" topLeftCell="A19" workbookViewId="0">
      <selection activeCell="E39" sqref="E39"/>
    </sheetView>
  </sheetViews>
  <sheetFormatPr defaultRowHeight="13.8"/>
  <cols>
    <col min="2" max="2" width="17.69921875" customWidth="1"/>
    <col min="3" max="3" width="34.5" customWidth="1"/>
    <col min="4" max="4" width="33.5" bestFit="1" customWidth="1"/>
    <col min="5" max="5" width="11.89843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5">
      <c r="B3" s="14" t="s">
        <v>316</v>
      </c>
      <c r="C3" s="14"/>
      <c r="D3" s="14"/>
      <c r="E3" s="14"/>
    </row>
    <row r="6" spans="2:5">
      <c r="B6" t="s">
        <v>319</v>
      </c>
    </row>
    <row r="7" spans="2:5">
      <c r="B7" t="s">
        <v>320</v>
      </c>
    </row>
    <row r="9" spans="2:5">
      <c r="B9" s="12" t="s">
        <v>16</v>
      </c>
      <c r="C9" t="s">
        <v>24</v>
      </c>
    </row>
    <row r="11" spans="2:5">
      <c r="B11" s="12" t="s">
        <v>313</v>
      </c>
      <c r="C11" t="s">
        <v>315</v>
      </c>
    </row>
    <row r="12" spans="2:5">
      <c r="B12" s="13" t="s">
        <v>23</v>
      </c>
      <c r="C12" s="15">
        <v>217</v>
      </c>
    </row>
    <row r="13" spans="2:5">
      <c r="B13" s="13" t="s">
        <v>19</v>
      </c>
      <c r="C13" s="15">
        <v>1537</v>
      </c>
    </row>
    <row r="14" spans="2:5">
      <c r="B14" s="13" t="s">
        <v>314</v>
      </c>
      <c r="C14" s="15">
        <v>1754</v>
      </c>
    </row>
    <row r="15" spans="2:5">
      <c r="B15" s="13"/>
      <c r="C15" s="15"/>
    </row>
    <row r="16" spans="2:5">
      <c r="B16" s="13"/>
      <c r="C16" s="15"/>
    </row>
    <row r="17" spans="2:5">
      <c r="B17" s="13"/>
      <c r="C17" s="15"/>
    </row>
    <row r="18" spans="2:5">
      <c r="B18" t="s">
        <v>318</v>
      </c>
    </row>
    <row r="20" spans="2:5">
      <c r="B20" s="12" t="s">
        <v>16</v>
      </c>
      <c r="C20" t="s">
        <v>24</v>
      </c>
    </row>
    <row r="22" spans="2:5">
      <c r="B22" s="12" t="s">
        <v>313</v>
      </c>
      <c r="C22" t="s">
        <v>321</v>
      </c>
    </row>
    <row r="23" spans="2:5">
      <c r="B23" s="13" t="s">
        <v>22</v>
      </c>
      <c r="C23" s="15">
        <v>0</v>
      </c>
    </row>
    <row r="24" spans="2:5">
      <c r="B24" s="13" t="s">
        <v>26</v>
      </c>
      <c r="C24" s="15">
        <v>0</v>
      </c>
    </row>
    <row r="25" spans="2:5">
      <c r="B25" s="13" t="s">
        <v>18</v>
      </c>
      <c r="C25" s="15">
        <v>600</v>
      </c>
    </row>
    <row r="26" spans="2:5">
      <c r="B26" s="13" t="s">
        <v>314</v>
      </c>
      <c r="C26" s="15">
        <v>600</v>
      </c>
      <c r="E26" s="19">
        <f>GETPIVOTDATA("EA Play Season Pass
Price",C̳álculos!$B$22)</f>
        <v>600</v>
      </c>
    </row>
    <row r="30" spans="2:5">
      <c r="B30" t="s">
        <v>322</v>
      </c>
    </row>
    <row r="33" spans="2:5">
      <c r="B33" s="12" t="s">
        <v>16</v>
      </c>
      <c r="C33" t="s">
        <v>24</v>
      </c>
    </row>
    <row r="35" spans="2:5">
      <c r="B35" s="12" t="s">
        <v>313</v>
      </c>
      <c r="C35" t="s">
        <v>323</v>
      </c>
    </row>
    <row r="36" spans="2:5">
      <c r="B36" s="13" t="s">
        <v>22</v>
      </c>
      <c r="C36" s="15">
        <v>0</v>
      </c>
    </row>
    <row r="37" spans="2:5">
      <c r="B37" s="13" t="s">
        <v>26</v>
      </c>
      <c r="C37" s="15">
        <v>540</v>
      </c>
    </row>
    <row r="38" spans="2:5">
      <c r="B38" s="13" t="s">
        <v>18</v>
      </c>
      <c r="C38" s="15">
        <v>400</v>
      </c>
    </row>
    <row r="39" spans="2:5">
      <c r="B39" s="13" t="s">
        <v>314</v>
      </c>
      <c r="C39" s="15">
        <v>940</v>
      </c>
      <c r="E39" s="20">
        <f>GETPIVOTDATA("Minecraft Season Pass Price",$B$35)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78"/>
  <sheetViews>
    <sheetView showGridLines="0" showRowColHeaders="0" tabSelected="1" zoomScaleNormal="100" workbookViewId="0">
      <selection activeCell="A45" sqref="A45"/>
    </sheetView>
  </sheetViews>
  <sheetFormatPr defaultRowHeight="13.8"/>
  <cols>
    <col min="1" max="1" width="31" style="5" customWidth="1"/>
    <col min="2" max="2" width="3.59765625" customWidth="1"/>
    <col min="12" max="12" width="6.59765625" customWidth="1"/>
  </cols>
  <sheetData>
    <row r="2" spans="1:18" s="17" customFormat="1" ht="53.4" customHeight="1" thickBot="1">
      <c r="A2" s="16"/>
      <c r="C2" s="18" t="s">
        <v>324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1"/>
    </row>
    <row r="3" spans="1:18" ht="15.6" customHeight="1" thickTop="1"/>
    <row r="4" spans="1:18" s="7" customFormat="1" ht="8.25" customHeight="1">
      <c r="A4" s="5"/>
    </row>
    <row r="5" spans="1:18" s="7" customFormat="1" ht="7.5" customHeight="1">
      <c r="A5" s="5"/>
    </row>
    <row r="6" spans="1:18" s="7" customFormat="1" ht="10.5" customHeight="1">
      <c r="A6" s="5"/>
    </row>
    <row r="7" spans="1:18" s="7" customFormat="1" ht="9.75" customHeight="1">
      <c r="A7" s="5"/>
    </row>
    <row r="8" spans="1:18" s="7" customFormat="1" ht="33" customHeight="1">
      <c r="A8" s="5"/>
    </row>
    <row r="9" spans="1:18" s="7" customFormat="1">
      <c r="A9" s="5"/>
    </row>
    <row r="10" spans="1:18" s="7" customFormat="1">
      <c r="A10" s="5"/>
    </row>
    <row r="11" spans="1:18" s="7" customFormat="1">
      <c r="A11" s="5"/>
    </row>
    <row r="12" spans="1:18" s="7" customFormat="1">
      <c r="A12" s="5"/>
    </row>
    <row r="13" spans="1:18" s="7" customFormat="1">
      <c r="A13" s="5"/>
    </row>
    <row r="14" spans="1:18" s="7" customFormat="1">
      <c r="A14" s="5"/>
    </row>
    <row r="15" spans="1:18" s="7" customFormat="1">
      <c r="A15" s="5"/>
    </row>
    <row r="16" spans="1:18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  <row r="74" spans="1:1" s="7" customFormat="1">
      <c r="A74" s="5"/>
    </row>
    <row r="75" spans="1:1" s="7" customFormat="1">
      <c r="A75" s="5"/>
    </row>
    <row r="76" spans="1:1" s="7" customFormat="1">
      <c r="A76" s="5"/>
    </row>
    <row r="77" spans="1:1" s="7" customFormat="1">
      <c r="A77" s="5"/>
    </row>
    <row r="78" spans="1:1" s="7" customFormat="1">
      <c r="A78" s="5"/>
    </row>
    <row r="79" spans="1:1" s="7" customFormat="1">
      <c r="A79" s="5"/>
    </row>
    <row r="80" spans="1:1" s="7" customFormat="1">
      <c r="A80" s="5"/>
    </row>
    <row r="81" spans="1:1" s="7" customFormat="1">
      <c r="A81" s="5"/>
    </row>
    <row r="82" spans="1:1" s="7" customFormat="1">
      <c r="A82" s="5"/>
    </row>
    <row r="83" spans="1:1" s="7" customFormat="1">
      <c r="A83" s="5"/>
    </row>
    <row r="84" spans="1:1" s="7" customFormat="1">
      <c r="A84" s="5"/>
    </row>
    <row r="85" spans="1:1" s="7" customFormat="1">
      <c r="A85" s="5"/>
    </row>
    <row r="86" spans="1:1" s="7" customFormat="1">
      <c r="A86" s="5"/>
    </row>
    <row r="87" spans="1:1" s="7" customFormat="1">
      <c r="A87" s="5"/>
    </row>
    <row r="88" spans="1:1" s="7" customFormat="1">
      <c r="A88" s="5"/>
    </row>
    <row r="89" spans="1:1" s="7" customFormat="1">
      <c r="A89" s="5"/>
    </row>
    <row r="90" spans="1:1" s="7" customFormat="1">
      <c r="A90" s="5"/>
    </row>
    <row r="91" spans="1:1" s="7" customFormat="1">
      <c r="A91" s="5"/>
    </row>
    <row r="92" spans="1:1" s="7" customFormat="1">
      <c r="A92" s="5"/>
    </row>
    <row r="93" spans="1:1" s="7" customFormat="1">
      <c r="A93" s="5"/>
    </row>
    <row r="94" spans="1:1" s="7" customFormat="1">
      <c r="A94" s="5"/>
    </row>
    <row r="95" spans="1:1" s="7" customFormat="1">
      <c r="A95" s="5"/>
    </row>
    <row r="96" spans="1:1" s="7" customFormat="1">
      <c r="A96" s="5"/>
    </row>
    <row r="97" spans="1:1" s="7" customFormat="1">
      <c r="A97" s="5"/>
    </row>
    <row r="98" spans="1:1" s="7" customFormat="1">
      <c r="A98" s="5"/>
    </row>
    <row r="99" spans="1:1" s="7" customFormat="1">
      <c r="A99" s="5"/>
    </row>
    <row r="100" spans="1:1" s="7" customFormat="1">
      <c r="A100" s="5"/>
    </row>
    <row r="101" spans="1:1" s="7" customFormat="1">
      <c r="A101" s="5"/>
    </row>
    <row r="102" spans="1:1" s="7" customFormat="1">
      <c r="A102" s="5"/>
    </row>
    <row r="103" spans="1:1" s="7" customFormat="1">
      <c r="A103" s="5"/>
    </row>
    <row r="104" spans="1:1" s="7" customFormat="1">
      <c r="A104" s="5"/>
    </row>
    <row r="105" spans="1:1" s="7" customFormat="1">
      <c r="A105" s="5"/>
    </row>
    <row r="106" spans="1:1" s="7" customFormat="1">
      <c r="A106" s="5"/>
    </row>
    <row r="107" spans="1:1" s="7" customFormat="1">
      <c r="A107" s="5"/>
    </row>
    <row r="108" spans="1:1" s="7" customFormat="1">
      <c r="A108" s="5"/>
    </row>
    <row r="109" spans="1:1" s="7" customFormat="1">
      <c r="A109" s="5"/>
    </row>
    <row r="110" spans="1:1" s="7" customFormat="1">
      <c r="A110" s="5"/>
    </row>
    <row r="111" spans="1:1" s="7" customFormat="1">
      <c r="A111" s="5"/>
    </row>
    <row r="112" spans="1:1" s="7" customFormat="1">
      <c r="A112" s="5"/>
    </row>
    <row r="113" spans="1:1" s="7" customFormat="1">
      <c r="A113" s="5"/>
    </row>
    <row r="114" spans="1:1" s="7" customFormat="1">
      <c r="A114" s="5"/>
    </row>
    <row r="115" spans="1:1" s="7" customFormat="1">
      <c r="A115" s="5"/>
    </row>
    <row r="116" spans="1:1" s="7" customFormat="1">
      <c r="A116" s="5"/>
    </row>
    <row r="117" spans="1:1" s="7" customFormat="1">
      <c r="A117" s="5"/>
    </row>
    <row r="118" spans="1:1" s="7" customFormat="1">
      <c r="A118" s="5"/>
    </row>
    <row r="119" spans="1:1" s="7" customFormat="1">
      <c r="A119" s="5"/>
    </row>
    <row r="120" spans="1:1" s="7" customFormat="1">
      <c r="A120" s="5"/>
    </row>
    <row r="121" spans="1:1" s="7" customFormat="1">
      <c r="A121" s="5"/>
    </row>
    <row r="122" spans="1:1" s="7" customFormat="1">
      <c r="A122" s="5"/>
    </row>
    <row r="123" spans="1:1" s="7" customFormat="1">
      <c r="A123" s="5"/>
    </row>
    <row r="124" spans="1:1" s="7" customFormat="1">
      <c r="A124" s="5"/>
    </row>
    <row r="125" spans="1:1" s="7" customFormat="1">
      <c r="A125" s="5"/>
    </row>
    <row r="126" spans="1:1" s="7" customFormat="1">
      <c r="A126" s="5"/>
    </row>
    <row r="127" spans="1:1" s="7" customFormat="1">
      <c r="A127" s="5"/>
    </row>
    <row r="128" spans="1:1" s="7" customFormat="1">
      <c r="A128" s="5"/>
    </row>
    <row r="129" spans="1:1" s="7" customFormat="1">
      <c r="A129" s="5"/>
    </row>
    <row r="130" spans="1:1" s="7" customFormat="1">
      <c r="A130" s="5"/>
    </row>
    <row r="131" spans="1:1" s="7" customFormat="1">
      <c r="A131" s="5"/>
    </row>
    <row r="132" spans="1:1" s="7" customFormat="1">
      <c r="A132" s="5"/>
    </row>
    <row r="133" spans="1:1" s="7" customFormat="1">
      <c r="A133" s="5"/>
    </row>
    <row r="134" spans="1:1" s="7" customFormat="1">
      <c r="A134" s="5"/>
    </row>
    <row r="135" spans="1:1" s="7" customFormat="1">
      <c r="A135" s="5"/>
    </row>
    <row r="136" spans="1:1" s="7" customFormat="1">
      <c r="A136" s="5"/>
    </row>
    <row r="137" spans="1:1" s="7" customFormat="1">
      <c r="A137" s="5"/>
    </row>
    <row r="138" spans="1:1" s="7" customFormat="1">
      <c r="A138" s="5"/>
    </row>
    <row r="139" spans="1:1" s="7" customFormat="1">
      <c r="A139" s="5"/>
    </row>
    <row r="140" spans="1:1" s="7" customFormat="1">
      <c r="A140" s="5"/>
    </row>
    <row r="141" spans="1:1" s="7" customFormat="1">
      <c r="A141" s="5"/>
    </row>
    <row r="142" spans="1:1" s="7" customFormat="1">
      <c r="A142" s="5"/>
    </row>
    <row r="143" spans="1:1" s="7" customFormat="1">
      <c r="A143" s="5"/>
    </row>
    <row r="144" spans="1:1" s="7" customFormat="1">
      <c r="A144" s="5"/>
    </row>
    <row r="145" spans="1:1" s="7" customFormat="1">
      <c r="A145" s="5"/>
    </row>
    <row r="146" spans="1:1" s="7" customFormat="1">
      <c r="A146" s="5"/>
    </row>
    <row r="147" spans="1:1" s="7" customFormat="1">
      <c r="A147" s="5"/>
    </row>
    <row r="148" spans="1:1" s="7" customFormat="1">
      <c r="A148" s="5"/>
    </row>
    <row r="149" spans="1:1" s="7" customFormat="1">
      <c r="A149" s="5"/>
    </row>
    <row r="150" spans="1:1" s="7" customFormat="1">
      <c r="A150" s="5"/>
    </row>
    <row r="151" spans="1:1" s="7" customFormat="1">
      <c r="A151" s="5"/>
    </row>
    <row r="152" spans="1:1" s="7" customFormat="1">
      <c r="A152" s="5"/>
    </row>
    <row r="153" spans="1:1" s="7" customFormat="1">
      <c r="A153" s="5"/>
    </row>
    <row r="154" spans="1:1" s="7" customFormat="1">
      <c r="A154" s="5"/>
    </row>
    <row r="155" spans="1:1" s="7" customFormat="1">
      <c r="A155" s="5"/>
    </row>
    <row r="156" spans="1:1" s="7" customFormat="1">
      <c r="A156" s="5"/>
    </row>
    <row r="157" spans="1:1" s="7" customFormat="1">
      <c r="A157" s="5"/>
    </row>
    <row r="158" spans="1:1" s="7" customFormat="1">
      <c r="A158" s="5"/>
    </row>
    <row r="159" spans="1:1" s="7" customFormat="1">
      <c r="A159" s="5"/>
    </row>
    <row r="160" spans="1:1" s="7" customFormat="1">
      <c r="A160" s="5"/>
    </row>
    <row r="161" spans="1:1" s="7" customFormat="1">
      <c r="A161" s="5"/>
    </row>
    <row r="162" spans="1:1" s="7" customFormat="1">
      <c r="A162" s="5"/>
    </row>
    <row r="163" spans="1:1" s="7" customFormat="1">
      <c r="A163" s="5"/>
    </row>
    <row r="164" spans="1:1" s="7" customFormat="1">
      <c r="A164" s="5"/>
    </row>
    <row r="165" spans="1:1" s="7" customFormat="1">
      <c r="A165" s="5"/>
    </row>
    <row r="166" spans="1:1" s="7" customFormat="1">
      <c r="A166" s="5"/>
    </row>
    <row r="167" spans="1:1" s="7" customFormat="1">
      <c r="A167" s="5"/>
    </row>
    <row r="168" spans="1:1" s="7" customFormat="1">
      <c r="A168" s="5"/>
    </row>
    <row r="169" spans="1:1" s="7" customFormat="1">
      <c r="A169" s="5"/>
    </row>
    <row r="170" spans="1:1" s="7" customFormat="1">
      <c r="A170" s="5"/>
    </row>
    <row r="171" spans="1:1" s="7" customFormat="1">
      <c r="A171" s="5"/>
    </row>
    <row r="172" spans="1:1" s="7" customFormat="1">
      <c r="A172" s="5"/>
    </row>
    <row r="173" spans="1:1" s="7" customFormat="1">
      <c r="A173" s="5"/>
    </row>
    <row r="174" spans="1:1" s="7" customFormat="1">
      <c r="A174" s="5"/>
    </row>
    <row r="175" spans="1:1" s="7" customFormat="1">
      <c r="A175" s="5"/>
    </row>
    <row r="176" spans="1:1" s="7" customFormat="1">
      <c r="A176" s="5"/>
    </row>
    <row r="177" spans="1:1" s="7" customFormat="1">
      <c r="A177" s="5"/>
    </row>
    <row r="178" spans="1:1" s="7" customFormat="1">
      <c r="A178" s="5"/>
    </row>
    <row r="179" spans="1:1" s="7" customFormat="1">
      <c r="A179" s="5"/>
    </row>
    <row r="180" spans="1:1" s="7" customFormat="1">
      <c r="A180" s="5"/>
    </row>
    <row r="181" spans="1:1" s="7" customFormat="1">
      <c r="A181" s="5"/>
    </row>
    <row r="182" spans="1:1" s="7" customFormat="1">
      <c r="A182" s="5"/>
    </row>
    <row r="183" spans="1:1" s="7" customFormat="1">
      <c r="A183" s="5"/>
    </row>
    <row r="184" spans="1:1" s="7" customFormat="1">
      <c r="A184" s="5"/>
    </row>
    <row r="185" spans="1:1" s="7" customFormat="1">
      <c r="A185" s="5"/>
    </row>
    <row r="186" spans="1:1" s="7" customFormat="1">
      <c r="A186" s="5"/>
    </row>
    <row r="187" spans="1:1" s="7" customFormat="1">
      <c r="A187" s="5"/>
    </row>
    <row r="188" spans="1:1" s="7" customFormat="1">
      <c r="A188" s="5"/>
    </row>
    <row r="189" spans="1:1" s="7" customFormat="1">
      <c r="A189" s="5"/>
    </row>
    <row r="190" spans="1:1" s="7" customFormat="1">
      <c r="A190" s="5"/>
    </row>
    <row r="191" spans="1:1" s="7" customFormat="1">
      <c r="A191" s="5"/>
    </row>
    <row r="192" spans="1:1" s="7" customFormat="1">
      <c r="A192" s="5"/>
    </row>
    <row r="193" spans="1:1" s="7" customFormat="1">
      <c r="A193" s="5"/>
    </row>
    <row r="194" spans="1:1" s="7" customFormat="1">
      <c r="A194" s="5"/>
    </row>
    <row r="195" spans="1:1" s="7" customFormat="1">
      <c r="A195" s="5"/>
    </row>
    <row r="196" spans="1:1" s="7" customFormat="1">
      <c r="A196" s="5"/>
    </row>
    <row r="197" spans="1:1" s="7" customFormat="1">
      <c r="A197" s="5"/>
    </row>
    <row r="198" spans="1:1" s="7" customFormat="1">
      <c r="A198" s="5"/>
    </row>
    <row r="199" spans="1:1" s="7" customFormat="1">
      <c r="A199" s="5"/>
    </row>
    <row r="200" spans="1:1" s="7" customFormat="1">
      <c r="A200" s="5"/>
    </row>
    <row r="201" spans="1:1" s="7" customFormat="1">
      <c r="A201" s="5"/>
    </row>
    <row r="202" spans="1:1" s="7" customFormat="1">
      <c r="A202" s="5"/>
    </row>
    <row r="203" spans="1:1" s="7" customFormat="1">
      <c r="A203" s="5"/>
    </row>
    <row r="204" spans="1:1" s="7" customFormat="1">
      <c r="A204" s="5"/>
    </row>
    <row r="205" spans="1:1" s="7" customFormat="1">
      <c r="A205" s="5"/>
    </row>
    <row r="206" spans="1:1" s="7" customFormat="1">
      <c r="A206" s="5"/>
    </row>
    <row r="207" spans="1:1" s="7" customFormat="1">
      <c r="A207" s="5"/>
    </row>
    <row r="208" spans="1:1" s="7" customFormat="1">
      <c r="A208" s="5"/>
    </row>
    <row r="209" spans="1:1" s="7" customFormat="1">
      <c r="A209" s="5"/>
    </row>
    <row r="210" spans="1:1" s="7" customFormat="1">
      <c r="A210" s="5"/>
    </row>
    <row r="211" spans="1:1" s="7" customFormat="1">
      <c r="A211" s="5"/>
    </row>
    <row r="212" spans="1:1" s="7" customFormat="1">
      <c r="A212" s="5"/>
    </row>
    <row r="213" spans="1:1" s="7" customFormat="1">
      <c r="A213" s="5"/>
    </row>
    <row r="214" spans="1:1" s="7" customFormat="1">
      <c r="A214" s="5"/>
    </row>
    <row r="215" spans="1:1" s="7" customFormat="1">
      <c r="A215" s="5"/>
    </row>
    <row r="216" spans="1:1" s="7" customFormat="1">
      <c r="A216" s="5"/>
    </row>
    <row r="217" spans="1:1" s="7" customFormat="1">
      <c r="A217" s="5"/>
    </row>
    <row r="218" spans="1:1" s="7" customFormat="1">
      <c r="A218" s="5"/>
    </row>
    <row r="219" spans="1:1" s="7" customFormat="1">
      <c r="A219" s="5"/>
    </row>
    <row r="220" spans="1:1" s="7" customFormat="1">
      <c r="A220" s="5"/>
    </row>
    <row r="221" spans="1:1" s="7" customFormat="1">
      <c r="A221" s="5"/>
    </row>
    <row r="222" spans="1:1" s="7" customFormat="1">
      <c r="A222" s="5"/>
    </row>
    <row r="223" spans="1:1" s="7" customFormat="1">
      <c r="A223" s="5"/>
    </row>
    <row r="224" spans="1:1" s="7" customFormat="1">
      <c r="A224" s="5"/>
    </row>
    <row r="225" spans="1:1" s="7" customFormat="1">
      <c r="A225" s="5"/>
    </row>
    <row r="226" spans="1:1" s="7" customFormat="1">
      <c r="A226" s="5"/>
    </row>
    <row r="227" spans="1:1" s="7" customFormat="1">
      <c r="A227" s="5"/>
    </row>
    <row r="228" spans="1:1" s="7" customFormat="1">
      <c r="A228" s="5"/>
    </row>
    <row r="229" spans="1:1" s="7" customFormat="1">
      <c r="A229" s="5"/>
    </row>
    <row r="230" spans="1:1" s="7" customFormat="1">
      <c r="A230" s="5"/>
    </row>
    <row r="231" spans="1:1" s="7" customFormat="1">
      <c r="A231" s="5"/>
    </row>
    <row r="232" spans="1:1" s="7" customFormat="1">
      <c r="A232" s="5"/>
    </row>
    <row r="233" spans="1:1" s="7" customFormat="1">
      <c r="A233" s="5"/>
    </row>
    <row r="234" spans="1:1" s="7" customFormat="1">
      <c r="A234" s="5"/>
    </row>
    <row r="235" spans="1:1" s="7" customFormat="1">
      <c r="A235" s="5"/>
    </row>
    <row r="236" spans="1:1" s="7" customFormat="1">
      <c r="A236" s="5"/>
    </row>
    <row r="237" spans="1:1" s="7" customFormat="1">
      <c r="A237" s="5"/>
    </row>
    <row r="238" spans="1:1" s="7" customFormat="1">
      <c r="A238" s="5"/>
    </row>
    <row r="239" spans="1:1" s="7" customFormat="1">
      <c r="A239" s="5"/>
    </row>
    <row r="240" spans="1:1" s="7" customFormat="1">
      <c r="A240" s="5"/>
    </row>
    <row r="241" spans="1:1" s="7" customFormat="1">
      <c r="A241" s="5"/>
    </row>
    <row r="242" spans="1:1" s="7" customFormat="1">
      <c r="A242" s="5"/>
    </row>
    <row r="243" spans="1:1" s="7" customFormat="1">
      <c r="A243" s="5"/>
    </row>
    <row r="244" spans="1:1" s="7" customFormat="1">
      <c r="A244" s="5"/>
    </row>
    <row r="245" spans="1:1" s="7" customFormat="1">
      <c r="A245" s="5"/>
    </row>
    <row r="246" spans="1:1" s="7" customFormat="1">
      <c r="A246" s="5"/>
    </row>
    <row r="247" spans="1:1" s="7" customFormat="1">
      <c r="A247" s="5"/>
    </row>
    <row r="248" spans="1:1" s="7" customFormat="1">
      <c r="A248" s="5"/>
    </row>
    <row r="249" spans="1:1" s="7" customFormat="1">
      <c r="A249" s="5"/>
    </row>
    <row r="250" spans="1:1" s="7" customFormat="1">
      <c r="A250" s="5"/>
    </row>
    <row r="251" spans="1:1" s="7" customFormat="1">
      <c r="A251" s="5"/>
    </row>
    <row r="252" spans="1:1" s="7" customFormat="1">
      <c r="A252" s="5"/>
    </row>
    <row r="253" spans="1:1" s="7" customFormat="1">
      <c r="A253" s="5"/>
    </row>
    <row r="254" spans="1:1" s="7" customFormat="1">
      <c r="A254" s="5"/>
    </row>
    <row r="255" spans="1:1" s="7" customFormat="1">
      <c r="A255" s="5"/>
    </row>
    <row r="256" spans="1:1" s="7" customFormat="1">
      <c r="A256" s="5"/>
    </row>
    <row r="257" spans="1:1" s="7" customFormat="1">
      <c r="A257" s="5"/>
    </row>
    <row r="258" spans="1:1" s="7" customFormat="1">
      <c r="A258" s="5"/>
    </row>
    <row r="259" spans="1:1" s="7" customFormat="1">
      <c r="A259" s="5"/>
    </row>
    <row r="260" spans="1:1" s="7" customFormat="1">
      <c r="A260" s="5"/>
    </row>
    <row r="261" spans="1:1" s="7" customFormat="1">
      <c r="A261" s="5"/>
    </row>
    <row r="262" spans="1:1" s="7" customFormat="1">
      <c r="A262" s="5"/>
    </row>
    <row r="263" spans="1:1" s="7" customFormat="1">
      <c r="A263" s="5"/>
    </row>
    <row r="264" spans="1:1" s="7" customFormat="1">
      <c r="A264" s="5"/>
    </row>
    <row r="265" spans="1:1" s="7" customFormat="1">
      <c r="A265" s="5"/>
    </row>
    <row r="266" spans="1:1" s="7" customFormat="1">
      <c r="A266" s="5"/>
    </row>
    <row r="267" spans="1:1" s="7" customFormat="1">
      <c r="A267" s="5"/>
    </row>
    <row r="268" spans="1:1" s="7" customFormat="1">
      <c r="A268" s="5"/>
    </row>
    <row r="269" spans="1:1" s="7" customFormat="1">
      <c r="A269" s="5"/>
    </row>
    <row r="270" spans="1:1" s="7" customFormat="1">
      <c r="A270" s="5"/>
    </row>
    <row r="271" spans="1:1" s="7" customFormat="1">
      <c r="A271" s="5"/>
    </row>
    <row r="272" spans="1:1" s="7" customFormat="1">
      <c r="A272" s="5"/>
    </row>
    <row r="273" spans="1:1" s="7" customFormat="1">
      <c r="A273" s="5"/>
    </row>
    <row r="274" spans="1:1" s="7" customFormat="1">
      <c r="A274" s="5"/>
    </row>
    <row r="275" spans="1:1" s="7" customFormat="1">
      <c r="A275" s="5"/>
    </row>
    <row r="276" spans="1:1" s="7" customFormat="1">
      <c r="A276" s="5"/>
    </row>
    <row r="277" spans="1:1" s="7" customFormat="1">
      <c r="A277" s="5"/>
    </row>
    <row r="278" spans="1:1" s="7" customFormat="1">
      <c r="A278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Operador</cp:lastModifiedBy>
  <dcterms:created xsi:type="dcterms:W3CDTF">2024-12-19T13:13:10Z</dcterms:created>
  <dcterms:modified xsi:type="dcterms:W3CDTF">2026-10-01T17:07:45Z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